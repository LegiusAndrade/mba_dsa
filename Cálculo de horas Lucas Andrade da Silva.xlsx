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E14EC14F-3D6A-47BC-B011-D68330EB9451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Solides Aplicativo" sheetId="1" r:id="rId1"/>
  </sheets>
  <definedNames>
    <definedName name="_xlnm._FilterDatabase" localSheetId="0" hidden="1">'Solides Aplicativo'!$A$1:$F$283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0" i="1" l="1"/>
  <c r="F240" i="1"/>
  <c r="G283" i="1" s="1"/>
  <c r="F132" i="1"/>
  <c r="F119" i="1"/>
  <c r="F104" i="1"/>
  <c r="F95" i="1"/>
  <c r="F86" i="1"/>
  <c r="F75" i="1"/>
  <c r="F65" i="1"/>
  <c r="F54" i="1"/>
  <c r="F41" i="1"/>
  <c r="F38" i="1"/>
  <c r="F22" i="1"/>
  <c r="F12" i="1"/>
  <c r="F3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7" i="1"/>
  <c r="F29" i="1"/>
  <c r="F30" i="1"/>
  <c r="F31" i="1"/>
  <c r="F32" i="1"/>
  <c r="F33" i="1"/>
  <c r="F34" i="1"/>
  <c r="F35" i="1"/>
  <c r="F36" i="1"/>
  <c r="F37" i="1"/>
  <c r="F39" i="1"/>
  <c r="F40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56" i="1"/>
  <c r="F57" i="1"/>
  <c r="F58" i="1"/>
  <c r="F59" i="1"/>
  <c r="F60" i="1"/>
  <c r="F61" i="1"/>
  <c r="F62" i="1"/>
  <c r="F63" i="1"/>
  <c r="F64" i="1"/>
  <c r="F66" i="1"/>
  <c r="F67" i="1"/>
  <c r="F68" i="1"/>
  <c r="F69" i="1"/>
  <c r="F70" i="1"/>
  <c r="F71" i="1"/>
  <c r="F72" i="1"/>
  <c r="F73" i="1"/>
  <c r="F74" i="1"/>
  <c r="F76" i="1"/>
  <c r="F77" i="1"/>
  <c r="F78" i="1"/>
  <c r="F79" i="1"/>
  <c r="F80" i="1"/>
  <c r="F81" i="1"/>
  <c r="F82" i="1"/>
  <c r="F83" i="1"/>
  <c r="F84" i="1"/>
  <c r="F85" i="1"/>
  <c r="F87" i="1"/>
  <c r="F88" i="1"/>
  <c r="F89" i="1"/>
  <c r="F91" i="1"/>
  <c r="F92" i="1"/>
  <c r="F93" i="1"/>
  <c r="F94" i="1"/>
  <c r="F96" i="1"/>
  <c r="F97" i="1"/>
  <c r="F98" i="1"/>
  <c r="F99" i="1"/>
  <c r="F100" i="1"/>
  <c r="F101" i="1"/>
  <c r="F102" i="1"/>
  <c r="F103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20" i="1"/>
  <c r="F122" i="1"/>
  <c r="F123" i="1"/>
  <c r="F125" i="1"/>
  <c r="F126" i="1"/>
  <c r="F127" i="1"/>
  <c r="F128" i="1"/>
  <c r="F129" i="1"/>
  <c r="F130" i="1"/>
  <c r="F131" i="1"/>
  <c r="F133" i="1"/>
  <c r="F134" i="1"/>
  <c r="F135" i="1"/>
  <c r="F136" i="1"/>
  <c r="F137" i="1"/>
  <c r="F138" i="1"/>
  <c r="F139" i="1"/>
  <c r="F140" i="1"/>
  <c r="F141" i="1"/>
  <c r="F148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3" i="1"/>
  <c r="F234" i="1"/>
  <c r="F235" i="1"/>
  <c r="F236" i="1"/>
  <c r="F237" i="1"/>
  <c r="F238" i="1"/>
  <c r="F239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6" i="1"/>
  <c r="F2" i="1"/>
  <c r="G282" i="1" l="1"/>
  <c r="G2" i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81" i="1" s="1"/>
</calcChain>
</file>

<file path=xl/sharedStrings.xml><?xml version="1.0" encoding="utf-8"?>
<sst xmlns="http://schemas.openxmlformats.org/spreadsheetml/2006/main" count="1098" uniqueCount="212">
  <si>
    <t>Dia</t>
  </si>
  <si>
    <t>Hora Entrada</t>
  </si>
  <si>
    <t>Almoço Entrada</t>
  </si>
  <si>
    <t>Almoço Saída</t>
  </si>
  <si>
    <t>Hora saída</t>
  </si>
  <si>
    <t>08:21:00</t>
  </si>
  <si>
    <t>08:15:00</t>
  </si>
  <si>
    <t>08:18:00</t>
  </si>
  <si>
    <t>08:07:00</t>
  </si>
  <si>
    <t>08:50:00</t>
  </si>
  <si>
    <t>05:38:00</t>
  </si>
  <si>
    <t>07:04:00</t>
  </si>
  <si>
    <t>07:03:00</t>
  </si>
  <si>
    <t>06:03:00</t>
  </si>
  <si>
    <t>08:19:00</t>
  </si>
  <si>
    <t>08:28:00</t>
  </si>
  <si>
    <t>08:22:00</t>
  </si>
  <si>
    <t>08:27:00</t>
  </si>
  <si>
    <t>08:14:00</t>
  </si>
  <si>
    <t>08:09:00</t>
  </si>
  <si>
    <t>08:13:00</t>
  </si>
  <si>
    <t>08:12:00</t>
  </si>
  <si>
    <t>08:25:00</t>
  </si>
  <si>
    <t>08:35:00</t>
  </si>
  <si>
    <t>08:36:00</t>
  </si>
  <si>
    <t>08:26:00</t>
  </si>
  <si>
    <t>08:24:00</t>
  </si>
  <si>
    <t>19:02:00</t>
  </si>
  <si>
    <t>08:43:00</t>
  </si>
  <si>
    <t>08:30:00</t>
  </si>
  <si>
    <t>08:16:00</t>
  </si>
  <si>
    <t>08:04:00</t>
  </si>
  <si>
    <t>08:17:00</t>
  </si>
  <si>
    <t>08:23:00</t>
  </si>
  <si>
    <t>05:32:00</t>
  </si>
  <si>
    <t>06:58:00</t>
  </si>
  <si>
    <t>07:02:00</t>
  </si>
  <si>
    <t>07:11:00</t>
  </si>
  <si>
    <t>08:11:00</t>
  </si>
  <si>
    <t>08:03:00</t>
  </si>
  <si>
    <t>08:10:00</t>
  </si>
  <si>
    <t>08:40:00</t>
  </si>
  <si>
    <t>08:00:00</t>
  </si>
  <si>
    <t>08:02:00</t>
  </si>
  <si>
    <t>08:06:00</t>
  </si>
  <si>
    <t>10:37:00</t>
  </si>
  <si>
    <t>08:32:00</t>
  </si>
  <si>
    <t>18:34:00</t>
  </si>
  <si>
    <t>08:37:00</t>
  </si>
  <si>
    <t>10:42:00</t>
  </si>
  <si>
    <t>10:41:00</t>
  </si>
  <si>
    <t>08:08:00</t>
  </si>
  <si>
    <t>12:48:00</t>
  </si>
  <si>
    <t>07:56:00</t>
  </si>
  <si>
    <t>12:09:00</t>
  </si>
  <si>
    <t>08:20:00</t>
  </si>
  <si>
    <t>09:09:00</t>
  </si>
  <si>
    <t>05:42:00</t>
  </si>
  <si>
    <t>07:46:00</t>
  </si>
  <si>
    <t>07:39:00</t>
  </si>
  <si>
    <t>08:01:00</t>
  </si>
  <si>
    <t>08:31:00</t>
  </si>
  <si>
    <t>08:34:00</t>
  </si>
  <si>
    <t>07:57:00</t>
  </si>
  <si>
    <t>07:59:00</t>
  </si>
  <si>
    <t>07:53:00</t>
  </si>
  <si>
    <t>05:41:00</t>
  </si>
  <si>
    <t>07:32:00</t>
  </si>
  <si>
    <t>07:34:00</t>
  </si>
  <si>
    <t>07:38:00</t>
  </si>
  <si>
    <t>07:36:00</t>
  </si>
  <si>
    <t>08:41:00</t>
  </si>
  <si>
    <t>18:33:00</t>
  </si>
  <si>
    <t>09:25:00</t>
  </si>
  <si>
    <t>05:02:00</t>
  </si>
  <si>
    <t>00:05:00</t>
  </si>
  <si>
    <t>17:51:00</t>
  </si>
  <si>
    <t>08:39:00</t>
  </si>
  <si>
    <t>18:04:00</t>
  </si>
  <si>
    <t>10:10:00</t>
  </si>
  <si>
    <t>12:00:00</t>
  </si>
  <si>
    <t>18:16:00</t>
  </si>
  <si>
    <t>19:29:00</t>
  </si>
  <si>
    <t>18:51:00</t>
  </si>
  <si>
    <t>18:05:00</t>
  </si>
  <si>
    <t>17:29:00</t>
  </si>
  <si>
    <t>18:32:00</t>
  </si>
  <si>
    <t>18:17:00</t>
  </si>
  <si>
    <t>18:48:00</t>
  </si>
  <si>
    <t>19:26:00</t>
  </si>
  <si>
    <t>17:58:00</t>
  </si>
  <si>
    <t>17:49:00</t>
  </si>
  <si>
    <t>13:00:00</t>
  </si>
  <si>
    <t>17:48:00</t>
  </si>
  <si>
    <t>19:13:00</t>
  </si>
  <si>
    <t>18:18:00</t>
  </si>
  <si>
    <t>18:40:00</t>
  </si>
  <si>
    <t>18:36:00</t>
  </si>
  <si>
    <t>18:19:00</t>
  </si>
  <si>
    <t>18:49:00</t>
  </si>
  <si>
    <t>17:45:00</t>
  </si>
  <si>
    <t>18:38:00</t>
  </si>
  <si>
    <t>18:28:00</t>
  </si>
  <si>
    <t>17:55:00</t>
  </si>
  <si>
    <t>18:58:00</t>
  </si>
  <si>
    <t>18:10:00</t>
  </si>
  <si>
    <t>18:53:00</t>
  </si>
  <si>
    <t>17:47:00</t>
  </si>
  <si>
    <t>19:59:00</t>
  </si>
  <si>
    <t>19:03:00</t>
  </si>
  <si>
    <t>21:18:00</t>
  </si>
  <si>
    <t>21:01:00</t>
  </si>
  <si>
    <t>19:01:00</t>
  </si>
  <si>
    <t>17:59:00</t>
  </si>
  <si>
    <t>18:06:00</t>
  </si>
  <si>
    <t>18:12:00</t>
  </si>
  <si>
    <t>17:50:00</t>
  </si>
  <si>
    <t>18:01:00</t>
  </si>
  <si>
    <t>18:02:00</t>
  </si>
  <si>
    <t>18:50:00</t>
  </si>
  <si>
    <t>18:08:00</t>
  </si>
  <si>
    <t>19:14:00</t>
  </si>
  <si>
    <t>18:29:00</t>
  </si>
  <si>
    <t>18:43:00</t>
  </si>
  <si>
    <t>18:31:00</t>
  </si>
  <si>
    <t>18:42:00</t>
  </si>
  <si>
    <t>19:08:00</t>
  </si>
  <si>
    <t>18:00:00</t>
  </si>
  <si>
    <t>18:57:00</t>
  </si>
  <si>
    <t>19:04:00</t>
  </si>
  <si>
    <t>19:09:00</t>
  </si>
  <si>
    <t>19:25:00</t>
  </si>
  <si>
    <t>18:59:00</t>
  </si>
  <si>
    <t>18:24:00</t>
  </si>
  <si>
    <t>20:11:00</t>
  </si>
  <si>
    <t>20:02:00</t>
  </si>
  <si>
    <t>20:30:00</t>
  </si>
  <si>
    <t>21:21:00</t>
  </si>
  <si>
    <t>19:48:00</t>
  </si>
  <si>
    <t>18:13:00</t>
  </si>
  <si>
    <t>18:09:00</t>
  </si>
  <si>
    <t>18:46:00</t>
  </si>
  <si>
    <t>19:19:00</t>
  </si>
  <si>
    <t>18:56:00</t>
  </si>
  <si>
    <t>19:27:00</t>
  </si>
  <si>
    <t>19:12:00</t>
  </si>
  <si>
    <t>19:11:00</t>
  </si>
  <si>
    <t>18:26:00</t>
  </si>
  <si>
    <t>16:37:00</t>
  </si>
  <si>
    <t>17:56:00</t>
  </si>
  <si>
    <t>18:15:00</t>
  </si>
  <si>
    <t>18:37:00</t>
  </si>
  <si>
    <t>18:44:00</t>
  </si>
  <si>
    <t>19:20:00</t>
  </si>
  <si>
    <t>18:41:00</t>
  </si>
  <si>
    <t>17:54:00</t>
  </si>
  <si>
    <t>19:18:00</t>
  </si>
  <si>
    <t>18:27:00</t>
  </si>
  <si>
    <t>17:23:00</t>
  </si>
  <si>
    <t>19:06:00</t>
  </si>
  <si>
    <t>18:39:00</t>
  </si>
  <si>
    <t>18:07:00</t>
  </si>
  <si>
    <t>17:41:00</t>
  </si>
  <si>
    <t>18:54:00</t>
  </si>
  <si>
    <t>19:00:00</t>
  </si>
  <si>
    <t>18:45:00</t>
  </si>
  <si>
    <t>18:20:00</t>
  </si>
  <si>
    <t>15:28:00</t>
  </si>
  <si>
    <t>18:21:00</t>
  </si>
  <si>
    <t>18:22:00</t>
  </si>
  <si>
    <t>20:10:00</t>
  </si>
  <si>
    <t>17:57:00</t>
  </si>
  <si>
    <t>18:47:00</t>
  </si>
  <si>
    <t>12:28:00</t>
  </si>
  <si>
    <t>17:08:00</t>
  </si>
  <si>
    <t>17:52:00</t>
  </si>
  <si>
    <t>18:25:00</t>
  </si>
  <si>
    <t>18:11:00</t>
  </si>
  <si>
    <t>19:37:00</t>
  </si>
  <si>
    <t>17:33:00</t>
  </si>
  <si>
    <t>21:31:00</t>
  </si>
  <si>
    <t>19:16:00</t>
  </si>
  <si>
    <t>16:24:00</t>
  </si>
  <si>
    <t>18:03:00</t>
  </si>
  <si>
    <t>19:21:00</t>
  </si>
  <si>
    <t>16:56:00</t>
  </si>
  <si>
    <t>19:39:00</t>
  </si>
  <si>
    <t>18:35:00</t>
  </si>
  <si>
    <t>17:16:00</t>
  </si>
  <si>
    <t>19:15:00</t>
  </si>
  <si>
    <t>23:59:00</t>
  </si>
  <si>
    <t>00:41:00</t>
  </si>
  <si>
    <t>20:07:00</t>
  </si>
  <si>
    <t>17:53:00</t>
  </si>
  <si>
    <t>17:44:00</t>
  </si>
  <si>
    <t>15:04:00</t>
  </si>
  <si>
    <t>17:34:00</t>
  </si>
  <si>
    <t>Horas no dia</t>
  </si>
  <si>
    <t>ATESTADO</t>
  </si>
  <si>
    <t>FERIADO</t>
  </si>
  <si>
    <t>FÉRIAS</t>
  </si>
  <si>
    <t>HORARIO NOTURNO</t>
  </si>
  <si>
    <t>TRABALHO FERIADO E HORARIO NOTURNO</t>
  </si>
  <si>
    <t>Somatória</t>
  </si>
  <si>
    <t xml:space="preserve">	Feriado 07/09/2024</t>
  </si>
  <si>
    <t>Feriado 12/10/2024</t>
  </si>
  <si>
    <t>Feriado 02/11/2024</t>
  </si>
  <si>
    <t>Feriado 25/01/2025</t>
  </si>
  <si>
    <t>Banco de Horas Total</t>
  </si>
  <si>
    <t>Horas Noturnas</t>
  </si>
  <si>
    <t>Dia 30/04/24 e 01/05/24</t>
  </si>
  <si>
    <t>Horas 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</si>
</sst>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]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0" fontId="0" fillId="0" borderId="1" xfId="0" applyNumberFormat="1" applyBorder="1"/>
    <xf numFmtId="2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3"/>
  <sheetViews>
    <sheetView tabSelected="1" workbookViewId="0">
      <selection activeCell="C31" sqref="C31"/>
    </sheetView>
  </sheetViews>
  <sheetFormatPr defaultRowHeight="15" x14ac:dyDescent="0.25"/>
  <cols>
    <col min="1" max="1" width="10.7109375" bestFit="1" customWidth="1"/>
    <col min="2" max="2" width="16.85546875" bestFit="1" customWidth="1"/>
    <col min="3" max="3" width="19.5703125" bestFit="1" customWidth="1"/>
    <col min="4" max="4" width="17.42578125" bestFit="1" customWidth="1"/>
    <col min="5" max="5" width="14.7109375" bestFit="1" customWidth="1"/>
    <col min="6" max="6" width="19.5703125" bestFit="1" customWidth="1"/>
    <col min="7" max="7" width="10" bestFit="1" customWidth="1"/>
    <col min="8" max="8" width="39.28515625" bestFit="1" customWidth="1"/>
    <col min="9" max="9" width="19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197</v>
      </c>
      <c r="G1" s="1" t="s">
        <v>203</v>
      </c>
    </row>
    <row r="2" spans="1:7" x14ac:dyDescent="0.25">
      <c r="A2" s="5">
        <v>43984</v>
      </c>
      <c r="B2" s="6" t="s">
        <v>5</v>
      </c>
      <c r="C2" s="6" t="s">
        <v>80</v>
      </c>
      <c r="D2" s="6" t="s">
        <v>92</v>
      </c>
      <c r="E2" s="6" t="s">
        <v>104</v>
      </c>
      <c r="F2" s="7">
        <f t="shared" ref="F2:F22" si="0">E2-B2-(D2-C2)-"8:48"</f>
        <v>3.4027777777777823E-2</v>
      </c>
      <c r="G2" s="8">
        <f>F2</f>
        <v>3.4027777777777823E-2</v>
      </c>
    </row>
    <row r="3" spans="1:7" x14ac:dyDescent="0.25">
      <c r="A3" s="5">
        <v>43985</v>
      </c>
      <c r="B3" s="6" t="s">
        <v>6</v>
      </c>
      <c r="C3" s="6" t="s">
        <v>80</v>
      </c>
      <c r="D3" s="6" t="s">
        <v>92</v>
      </c>
      <c r="E3" s="6" t="s">
        <v>105</v>
      </c>
      <c r="F3" s="7">
        <f t="shared" si="0"/>
        <v>4.8611111111111494E-3</v>
      </c>
      <c r="G3" s="8">
        <f>F3+G2</f>
        <v>3.8888888888888973E-2</v>
      </c>
    </row>
    <row r="4" spans="1:7" x14ac:dyDescent="0.25">
      <c r="A4" s="5">
        <v>43986</v>
      </c>
      <c r="B4" s="6" t="s">
        <v>7</v>
      </c>
      <c r="C4" s="6" t="s">
        <v>80</v>
      </c>
      <c r="D4" s="6" t="s">
        <v>92</v>
      </c>
      <c r="E4" s="6" t="s">
        <v>94</v>
      </c>
      <c r="F4" s="7">
        <f t="shared" si="0"/>
        <v>4.652777777777789E-2</v>
      </c>
      <c r="G4" s="8">
        <f t="shared" ref="G4:G68" si="1">F4+G3</f>
        <v>8.5416666666666863E-2</v>
      </c>
    </row>
    <row r="5" spans="1:7" x14ac:dyDescent="0.25">
      <c r="A5" s="5">
        <v>43987</v>
      </c>
      <c r="B5" s="6" t="s">
        <v>8</v>
      </c>
      <c r="C5" s="6" t="s">
        <v>80</v>
      </c>
      <c r="D5" s="6" t="s">
        <v>92</v>
      </c>
      <c r="E5" s="6" t="s">
        <v>106</v>
      </c>
      <c r="F5" s="7">
        <f t="shared" si="0"/>
        <v>4.0277777777777801E-2</v>
      </c>
      <c r="G5" s="8">
        <f t="shared" si="1"/>
        <v>0.12569444444444466</v>
      </c>
    </row>
    <row r="6" spans="1:7" x14ac:dyDescent="0.25">
      <c r="A6" s="5">
        <v>43988</v>
      </c>
      <c r="B6" s="6" t="s">
        <v>9</v>
      </c>
      <c r="C6" s="6" t="s">
        <v>80</v>
      </c>
      <c r="D6" s="6" t="s">
        <v>92</v>
      </c>
      <c r="E6" s="6" t="s">
        <v>107</v>
      </c>
      <c r="F6" s="7">
        <f t="shared" si="0"/>
        <v>-3.5416666666666596E-2</v>
      </c>
      <c r="G6" s="8">
        <f t="shared" si="1"/>
        <v>9.0277777777778068E-2</v>
      </c>
    </row>
    <row r="7" spans="1:7" x14ac:dyDescent="0.25">
      <c r="A7" s="5">
        <v>43991</v>
      </c>
      <c r="B7" s="6" t="s">
        <v>10</v>
      </c>
      <c r="C7" s="6" t="s">
        <v>80</v>
      </c>
      <c r="D7" s="6" t="s">
        <v>92</v>
      </c>
      <c r="E7" s="6" t="s">
        <v>108</v>
      </c>
      <c r="F7" s="7">
        <f t="shared" si="0"/>
        <v>0.18958333333333338</v>
      </c>
      <c r="G7" s="8">
        <f t="shared" si="1"/>
        <v>0.27986111111111145</v>
      </c>
    </row>
    <row r="8" spans="1:7" x14ac:dyDescent="0.25">
      <c r="A8" s="5">
        <v>43992</v>
      </c>
      <c r="B8" s="6" t="s">
        <v>11</v>
      </c>
      <c r="C8" s="6" t="s">
        <v>80</v>
      </c>
      <c r="D8" s="6" t="s">
        <v>92</v>
      </c>
      <c r="E8" s="6" t="s">
        <v>109</v>
      </c>
      <c r="F8" s="7">
        <f t="shared" si="0"/>
        <v>9.0972222222222232E-2</v>
      </c>
      <c r="G8" s="8">
        <f t="shared" si="1"/>
        <v>0.37083333333333368</v>
      </c>
    </row>
    <row r="9" spans="1:7" x14ac:dyDescent="0.25">
      <c r="A9" s="5">
        <v>43993</v>
      </c>
      <c r="B9" s="6" t="s">
        <v>11</v>
      </c>
      <c r="C9" s="6" t="s">
        <v>80</v>
      </c>
      <c r="D9" s="6" t="s">
        <v>92</v>
      </c>
      <c r="E9" s="6" t="s">
        <v>110</v>
      </c>
      <c r="F9" s="7">
        <f t="shared" si="0"/>
        <v>0.18472222222222218</v>
      </c>
      <c r="G9" s="8">
        <f t="shared" si="1"/>
        <v>0.5555555555555558</v>
      </c>
    </row>
    <row r="10" spans="1:7" x14ac:dyDescent="0.25">
      <c r="A10" s="5">
        <v>43994</v>
      </c>
      <c r="B10" s="6" t="s">
        <v>12</v>
      </c>
      <c r="C10" s="6" t="s">
        <v>80</v>
      </c>
      <c r="D10" s="6" t="s">
        <v>92</v>
      </c>
      <c r="E10" s="6" t="s">
        <v>111</v>
      </c>
      <c r="F10" s="7">
        <f t="shared" si="0"/>
        <v>0.1736111111111111</v>
      </c>
      <c r="G10" s="8">
        <f t="shared" si="1"/>
        <v>0.72916666666666696</v>
      </c>
    </row>
    <row r="11" spans="1:7" x14ac:dyDescent="0.25">
      <c r="A11" s="5">
        <v>43995</v>
      </c>
      <c r="B11" s="6" t="s">
        <v>13</v>
      </c>
      <c r="C11" s="6" t="s">
        <v>80</v>
      </c>
      <c r="D11" s="6" t="s">
        <v>92</v>
      </c>
      <c r="E11" s="9">
        <v>0.95</v>
      </c>
      <c r="F11" s="7">
        <f t="shared" si="0"/>
        <v>0.28958333333333336</v>
      </c>
      <c r="G11" s="8">
        <f>F11+G10</f>
        <v>1.0187500000000003</v>
      </c>
    </row>
    <row r="12" spans="1:7" x14ac:dyDescent="0.25">
      <c r="A12" s="5">
        <v>43998</v>
      </c>
      <c r="B12" s="6" t="s">
        <v>14</v>
      </c>
      <c r="C12" s="6" t="s">
        <v>80</v>
      </c>
      <c r="D12" s="6" t="s">
        <v>92</v>
      </c>
      <c r="E12" s="6" t="s">
        <v>93</v>
      </c>
      <c r="F12" s="7">
        <f t="shared" si="0"/>
        <v>-1.3194444444444342E-2</v>
      </c>
      <c r="G12" s="8">
        <f t="shared" si="1"/>
        <v>1.005555555555556</v>
      </c>
    </row>
    <row r="13" spans="1:7" x14ac:dyDescent="0.25">
      <c r="A13" s="5">
        <v>43999</v>
      </c>
      <c r="B13" s="6" t="s">
        <v>15</v>
      </c>
      <c r="C13" s="6" t="s">
        <v>80</v>
      </c>
      <c r="D13" s="6" t="s">
        <v>92</v>
      </c>
      <c r="E13" s="6" t="s">
        <v>87</v>
      </c>
      <c r="F13" s="7">
        <f t="shared" si="0"/>
        <v>6.9444444444444198E-4</v>
      </c>
      <c r="G13" s="8">
        <f t="shared" si="1"/>
        <v>1.0062500000000005</v>
      </c>
    </row>
    <row r="14" spans="1:7" x14ac:dyDescent="0.25">
      <c r="A14" s="5">
        <v>44000</v>
      </c>
      <c r="B14" s="6" t="s">
        <v>6</v>
      </c>
      <c r="C14" s="6" t="s">
        <v>80</v>
      </c>
      <c r="D14" s="6" t="s">
        <v>92</v>
      </c>
      <c r="E14" s="6" t="s">
        <v>112</v>
      </c>
      <c r="F14" s="7">
        <f t="shared" si="0"/>
        <v>4.0277777777777801E-2</v>
      </c>
      <c r="G14" s="8">
        <f t="shared" si="1"/>
        <v>1.0465277777777784</v>
      </c>
    </row>
    <row r="15" spans="1:7" x14ac:dyDescent="0.25">
      <c r="A15" s="5">
        <v>44001</v>
      </c>
      <c r="B15" s="6" t="s">
        <v>16</v>
      </c>
      <c r="C15" s="6" t="s">
        <v>80</v>
      </c>
      <c r="D15" s="6" t="s">
        <v>92</v>
      </c>
      <c r="E15" s="6" t="s">
        <v>113</v>
      </c>
      <c r="F15" s="7">
        <f t="shared" si="0"/>
        <v>-7.6388888888888062E-3</v>
      </c>
      <c r="G15" s="8">
        <f t="shared" si="1"/>
        <v>1.0388888888888896</v>
      </c>
    </row>
    <row r="16" spans="1:7" x14ac:dyDescent="0.25">
      <c r="A16" s="5">
        <v>44002</v>
      </c>
      <c r="B16" s="6" t="s">
        <v>7</v>
      </c>
      <c r="C16" s="6" t="s">
        <v>80</v>
      </c>
      <c r="D16" s="6" t="s">
        <v>92</v>
      </c>
      <c r="E16" s="6" t="s">
        <v>84</v>
      </c>
      <c r="F16" s="7">
        <f t="shared" si="0"/>
        <v>-6.9444444444438647E-4</v>
      </c>
      <c r="G16" s="8">
        <f t="shared" si="1"/>
        <v>1.0381944444444453</v>
      </c>
    </row>
    <row r="17" spans="1:7" x14ac:dyDescent="0.25">
      <c r="A17" s="5">
        <v>44005</v>
      </c>
      <c r="B17" s="6" t="s">
        <v>17</v>
      </c>
      <c r="C17" s="6" t="s">
        <v>80</v>
      </c>
      <c r="D17" s="6" t="s">
        <v>92</v>
      </c>
      <c r="E17" s="6" t="s">
        <v>114</v>
      </c>
      <c r="F17" s="7">
        <f t="shared" si="0"/>
        <v>-6.2499999999999778E-3</v>
      </c>
      <c r="G17" s="8">
        <f t="shared" si="1"/>
        <v>1.0319444444444454</v>
      </c>
    </row>
    <row r="18" spans="1:7" x14ac:dyDescent="0.25">
      <c r="A18" s="5">
        <v>44006</v>
      </c>
      <c r="B18" s="6" t="s">
        <v>7</v>
      </c>
      <c r="C18" s="6" t="s">
        <v>80</v>
      </c>
      <c r="D18" s="6" t="s">
        <v>92</v>
      </c>
      <c r="E18" s="6" t="s">
        <v>115</v>
      </c>
      <c r="F18" s="7">
        <f t="shared" si="0"/>
        <v>4.1666666666667074E-3</v>
      </c>
      <c r="G18" s="8">
        <f t="shared" si="1"/>
        <v>1.0361111111111121</v>
      </c>
    </row>
    <row r="19" spans="1:7" x14ac:dyDescent="0.25">
      <c r="A19" s="5">
        <v>44007</v>
      </c>
      <c r="B19" s="6" t="s">
        <v>18</v>
      </c>
      <c r="C19" s="6" t="s">
        <v>80</v>
      </c>
      <c r="D19" s="6" t="s">
        <v>92</v>
      </c>
      <c r="E19" s="6" t="s">
        <v>90</v>
      </c>
      <c r="F19" s="7">
        <f t="shared" si="0"/>
        <v>-2.7777777777777124E-3</v>
      </c>
      <c r="G19" s="8">
        <f t="shared" si="1"/>
        <v>1.0333333333333343</v>
      </c>
    </row>
    <row r="20" spans="1:7" x14ac:dyDescent="0.25">
      <c r="A20" s="5">
        <v>44008</v>
      </c>
      <c r="B20" s="6" t="s">
        <v>19</v>
      </c>
      <c r="C20" s="6" t="s">
        <v>80</v>
      </c>
      <c r="D20" s="6" t="s">
        <v>92</v>
      </c>
      <c r="E20" s="6" t="s">
        <v>116</v>
      </c>
      <c r="F20" s="7">
        <f t="shared" si="0"/>
        <v>-4.8611111111110383E-3</v>
      </c>
      <c r="G20" s="8">
        <f t="shared" si="1"/>
        <v>1.0284722222222233</v>
      </c>
    </row>
    <row r="21" spans="1:7" x14ac:dyDescent="0.25">
      <c r="A21" s="5">
        <v>44009</v>
      </c>
      <c r="B21" s="6" t="s">
        <v>16</v>
      </c>
      <c r="C21" s="6" t="s">
        <v>80</v>
      </c>
      <c r="D21" s="6" t="s">
        <v>92</v>
      </c>
      <c r="E21" s="6" t="s">
        <v>117</v>
      </c>
      <c r="F21" s="7">
        <f t="shared" si="0"/>
        <v>-6.2499999999999223E-3</v>
      </c>
      <c r="G21" s="8">
        <f t="shared" si="1"/>
        <v>1.0222222222222235</v>
      </c>
    </row>
    <row r="22" spans="1:7" x14ac:dyDescent="0.25">
      <c r="A22" s="5">
        <v>44012</v>
      </c>
      <c r="B22" s="6" t="s">
        <v>20</v>
      </c>
      <c r="C22" s="6" t="s">
        <v>80</v>
      </c>
      <c r="D22" s="6" t="s">
        <v>92</v>
      </c>
      <c r="E22" s="6" t="s">
        <v>81</v>
      </c>
      <c r="F22" s="7">
        <f t="shared" si="0"/>
        <v>1.0416666666666685E-2</v>
      </c>
      <c r="G22" s="8">
        <f t="shared" si="1"/>
        <v>1.0326388888888902</v>
      </c>
    </row>
    <row r="23" spans="1:7" x14ac:dyDescent="0.25">
      <c r="A23" s="5">
        <v>44013</v>
      </c>
      <c r="B23" s="6" t="s">
        <v>198</v>
      </c>
      <c r="C23" s="6" t="s">
        <v>198</v>
      </c>
      <c r="D23" s="6" t="s">
        <v>198</v>
      </c>
      <c r="E23" s="6" t="s">
        <v>198</v>
      </c>
      <c r="F23" s="7">
        <v>0</v>
      </c>
      <c r="G23" s="8">
        <f t="shared" si="1"/>
        <v>1.0326388888888902</v>
      </c>
    </row>
    <row r="24" spans="1:7" x14ac:dyDescent="0.25">
      <c r="A24" s="5">
        <v>44014</v>
      </c>
      <c r="B24" s="6" t="s">
        <v>198</v>
      </c>
      <c r="C24" s="6" t="s">
        <v>198</v>
      </c>
      <c r="D24" s="6" t="s">
        <v>198</v>
      </c>
      <c r="E24" s="6" t="s">
        <v>198</v>
      </c>
      <c r="F24" s="7">
        <v>4.1666666666666699E-2</v>
      </c>
      <c r="G24" s="8">
        <f t="shared" si="1"/>
        <v>1.074305555555557</v>
      </c>
    </row>
    <row r="25" spans="1:7" x14ac:dyDescent="0.25">
      <c r="A25" s="5">
        <v>44015</v>
      </c>
      <c r="B25" s="6" t="s">
        <v>198</v>
      </c>
      <c r="C25" s="6" t="s">
        <v>198</v>
      </c>
      <c r="D25" s="6" t="s">
        <v>198</v>
      </c>
      <c r="E25" s="6" t="s">
        <v>198</v>
      </c>
      <c r="F25" s="7">
        <v>8.3333333333333301E-2</v>
      </c>
      <c r="G25" s="8">
        <f t="shared" si="1"/>
        <v>1.1576388888888902</v>
      </c>
    </row>
    <row r="26" spans="1:7" x14ac:dyDescent="0.25">
      <c r="A26" s="5">
        <v>44016</v>
      </c>
      <c r="B26" s="6" t="s">
        <v>198</v>
      </c>
      <c r="C26" s="6" t="s">
        <v>198</v>
      </c>
      <c r="D26" s="6" t="s">
        <v>198</v>
      </c>
      <c r="E26" s="6" t="s">
        <v>198</v>
      </c>
      <c r="F26" s="7">
        <v>0.125</v>
      </c>
      <c r="G26" s="8">
        <f t="shared" si="1"/>
        <v>1.2826388888888902</v>
      </c>
    </row>
    <row r="27" spans="1:7" x14ac:dyDescent="0.25">
      <c r="A27" s="5">
        <v>44019</v>
      </c>
      <c r="B27" s="6" t="s">
        <v>19</v>
      </c>
      <c r="C27" s="6" t="s">
        <v>80</v>
      </c>
      <c r="D27" s="6" t="s">
        <v>92</v>
      </c>
      <c r="E27" s="6" t="s">
        <v>118</v>
      </c>
      <c r="F27" s="7">
        <f>E27-B27-(D27-C27)-"8:48"</f>
        <v>3.4722222222222654E-3</v>
      </c>
      <c r="G27" s="8">
        <f t="shared" si="1"/>
        <v>1.2861111111111125</v>
      </c>
    </row>
    <row r="28" spans="1:7" x14ac:dyDescent="0.25">
      <c r="A28" s="5">
        <v>44020</v>
      </c>
      <c r="B28" s="6" t="s">
        <v>199</v>
      </c>
      <c r="C28" s="6" t="s">
        <v>199</v>
      </c>
      <c r="D28" s="6" t="s">
        <v>199</v>
      </c>
      <c r="E28" s="6" t="s">
        <v>199</v>
      </c>
      <c r="F28" s="7">
        <v>0</v>
      </c>
      <c r="G28" s="8">
        <f t="shared" si="1"/>
        <v>1.2861111111111125</v>
      </c>
    </row>
    <row r="29" spans="1:7" x14ac:dyDescent="0.25">
      <c r="A29" s="5">
        <v>44021</v>
      </c>
      <c r="B29" s="6" t="s">
        <v>21</v>
      </c>
      <c r="C29" s="6" t="s">
        <v>80</v>
      </c>
      <c r="D29" s="6" t="s">
        <v>92</v>
      </c>
      <c r="E29" s="6" t="s">
        <v>118</v>
      </c>
      <c r="F29" s="7">
        <f t="shared" ref="F29:F60" si="2">E29-B29-(D29-C29)-"8:48"</f>
        <v>1.3888888888889395E-3</v>
      </c>
      <c r="G29" s="8">
        <f t="shared" si="1"/>
        <v>1.2875000000000014</v>
      </c>
    </row>
    <row r="30" spans="1:7" x14ac:dyDescent="0.25">
      <c r="A30" s="5">
        <v>44022</v>
      </c>
      <c r="B30" s="6" t="s">
        <v>16</v>
      </c>
      <c r="C30" s="6" t="s">
        <v>80</v>
      </c>
      <c r="D30" s="6" t="s">
        <v>92</v>
      </c>
      <c r="E30" s="6" t="s">
        <v>119</v>
      </c>
      <c r="F30" s="7">
        <f t="shared" si="2"/>
        <v>2.7777777777777846E-2</v>
      </c>
      <c r="G30" s="8">
        <f t="shared" si="1"/>
        <v>1.3152777777777793</v>
      </c>
    </row>
    <row r="31" spans="1:7" x14ac:dyDescent="0.25">
      <c r="A31" s="5">
        <v>44023</v>
      </c>
      <c r="B31" s="6" t="s">
        <v>5</v>
      </c>
      <c r="C31" s="6" t="s">
        <v>80</v>
      </c>
      <c r="D31" s="6" t="s">
        <v>92</v>
      </c>
      <c r="E31" s="6" t="s">
        <v>120</v>
      </c>
      <c r="F31" s="7">
        <f t="shared" si="2"/>
        <v>-6.9444444444438647E-4</v>
      </c>
      <c r="G31" s="8">
        <f t="shared" si="1"/>
        <v>1.314583333333335</v>
      </c>
    </row>
    <row r="32" spans="1:7" x14ac:dyDescent="0.25">
      <c r="A32" s="5">
        <v>44026</v>
      </c>
      <c r="B32" s="6" t="s">
        <v>22</v>
      </c>
      <c r="C32" s="6" t="s">
        <v>80</v>
      </c>
      <c r="D32" s="6" t="s">
        <v>92</v>
      </c>
      <c r="E32" s="6" t="s">
        <v>120</v>
      </c>
      <c r="F32" s="7">
        <f t="shared" si="2"/>
        <v>-3.4722222222221544E-3</v>
      </c>
      <c r="G32" s="8">
        <f t="shared" si="1"/>
        <v>1.3111111111111129</v>
      </c>
    </row>
    <row r="33" spans="1:7" x14ac:dyDescent="0.25">
      <c r="A33" s="5">
        <v>44027</v>
      </c>
      <c r="B33" s="6" t="s">
        <v>18</v>
      </c>
      <c r="C33" s="6" t="s">
        <v>80</v>
      </c>
      <c r="D33" s="6" t="s">
        <v>92</v>
      </c>
      <c r="E33" s="6" t="s">
        <v>121</v>
      </c>
      <c r="F33" s="7">
        <f t="shared" si="2"/>
        <v>5.00000000000001E-2</v>
      </c>
      <c r="G33" s="8">
        <f t="shared" si="1"/>
        <v>1.3611111111111129</v>
      </c>
    </row>
    <row r="34" spans="1:7" x14ac:dyDescent="0.25">
      <c r="A34" s="5">
        <v>44028</v>
      </c>
      <c r="B34" s="6" t="s">
        <v>18</v>
      </c>
      <c r="C34" s="6" t="s">
        <v>80</v>
      </c>
      <c r="D34" s="6" t="s">
        <v>92</v>
      </c>
      <c r="E34" s="6" t="s">
        <v>122</v>
      </c>
      <c r="F34" s="7">
        <f t="shared" si="2"/>
        <v>1.87500000000001E-2</v>
      </c>
      <c r="G34" s="8">
        <f t="shared" si="1"/>
        <v>1.379861111111113</v>
      </c>
    </row>
    <row r="35" spans="1:7" x14ac:dyDescent="0.25">
      <c r="A35" s="5">
        <v>44029</v>
      </c>
      <c r="B35" s="6" t="s">
        <v>23</v>
      </c>
      <c r="C35" s="6" t="s">
        <v>80</v>
      </c>
      <c r="D35" s="6" t="s">
        <v>92</v>
      </c>
      <c r="E35" s="6" t="s">
        <v>123</v>
      </c>
      <c r="F35" s="7">
        <f t="shared" si="2"/>
        <v>1.3888888888888951E-2</v>
      </c>
      <c r="G35" s="8">
        <f t="shared" si="1"/>
        <v>1.393750000000002</v>
      </c>
    </row>
    <row r="36" spans="1:7" x14ac:dyDescent="0.25">
      <c r="A36" s="5">
        <v>44030</v>
      </c>
      <c r="B36" s="6" t="s">
        <v>24</v>
      </c>
      <c r="C36" s="6" t="s">
        <v>80</v>
      </c>
      <c r="D36" s="6" t="s">
        <v>92</v>
      </c>
      <c r="E36" s="6" t="s">
        <v>124</v>
      </c>
      <c r="F36" s="7">
        <f t="shared" si="2"/>
        <v>4.8611111111112049E-3</v>
      </c>
      <c r="G36" s="8">
        <f t="shared" si="1"/>
        <v>1.3986111111111132</v>
      </c>
    </row>
    <row r="37" spans="1:7" x14ac:dyDescent="0.25">
      <c r="A37" s="5">
        <v>44033</v>
      </c>
      <c r="B37" s="6" t="s">
        <v>25</v>
      </c>
      <c r="C37" s="6" t="s">
        <v>80</v>
      </c>
      <c r="D37" s="6" t="s">
        <v>92</v>
      </c>
      <c r="E37" s="6" t="s">
        <v>112</v>
      </c>
      <c r="F37" s="7">
        <f t="shared" si="2"/>
        <v>3.2638888888888939E-2</v>
      </c>
      <c r="G37" s="8">
        <f t="shared" si="1"/>
        <v>1.4312500000000021</v>
      </c>
    </row>
    <row r="38" spans="1:7" x14ac:dyDescent="0.25">
      <c r="A38" s="5">
        <v>44034</v>
      </c>
      <c r="B38" s="6" t="s">
        <v>17</v>
      </c>
      <c r="C38" s="6" t="s">
        <v>80</v>
      </c>
      <c r="D38" s="6" t="s">
        <v>92</v>
      </c>
      <c r="E38" s="6" t="s">
        <v>94</v>
      </c>
      <c r="F38" s="7">
        <f t="shared" si="2"/>
        <v>4.0277777777777857E-2</v>
      </c>
      <c r="G38" s="8">
        <f t="shared" si="1"/>
        <v>1.47152777777778</v>
      </c>
    </row>
    <row r="39" spans="1:7" x14ac:dyDescent="0.25">
      <c r="A39" s="5">
        <v>44035</v>
      </c>
      <c r="B39" s="6" t="s">
        <v>16</v>
      </c>
      <c r="C39" s="6" t="s">
        <v>80</v>
      </c>
      <c r="D39" s="6" t="s">
        <v>92</v>
      </c>
      <c r="E39" s="6" t="s">
        <v>86</v>
      </c>
      <c r="F39" s="7">
        <f t="shared" si="2"/>
        <v>1.527777777777789E-2</v>
      </c>
      <c r="G39" s="8">
        <f t="shared" si="1"/>
        <v>1.4868055555555579</v>
      </c>
    </row>
    <row r="40" spans="1:7" x14ac:dyDescent="0.25">
      <c r="A40" s="5">
        <v>44036</v>
      </c>
      <c r="B40" s="6" t="s">
        <v>26</v>
      </c>
      <c r="C40" s="6" t="s">
        <v>80</v>
      </c>
      <c r="D40" s="6" t="s">
        <v>92</v>
      </c>
      <c r="E40" s="6" t="s">
        <v>125</v>
      </c>
      <c r="F40" s="7">
        <f t="shared" si="2"/>
        <v>2.0833333333333426E-2</v>
      </c>
      <c r="G40" s="8">
        <f t="shared" si="1"/>
        <v>1.5076388888888914</v>
      </c>
    </row>
    <row r="41" spans="1:7" x14ac:dyDescent="0.25">
      <c r="A41" s="5">
        <v>44037</v>
      </c>
      <c r="B41" s="9">
        <v>0.35347222222222224</v>
      </c>
      <c r="C41" s="6" t="s">
        <v>80</v>
      </c>
      <c r="D41" s="6" t="s">
        <v>92</v>
      </c>
      <c r="E41" s="6" t="s">
        <v>27</v>
      </c>
      <c r="F41" s="7">
        <f t="shared" si="2"/>
        <v>3.125E-2</v>
      </c>
      <c r="G41" s="8">
        <f t="shared" si="1"/>
        <v>1.5388888888888914</v>
      </c>
    </row>
    <row r="42" spans="1:7" x14ac:dyDescent="0.25">
      <c r="A42" s="5">
        <v>44040</v>
      </c>
      <c r="B42" s="6" t="s">
        <v>5</v>
      </c>
      <c r="C42" s="6" t="s">
        <v>80</v>
      </c>
      <c r="D42" s="6" t="s">
        <v>92</v>
      </c>
      <c r="E42" s="6" t="s">
        <v>124</v>
      </c>
      <c r="F42" s="7">
        <f t="shared" si="2"/>
        <v>1.527777777777789E-2</v>
      </c>
      <c r="G42" s="8">
        <f t="shared" si="1"/>
        <v>1.5541666666666694</v>
      </c>
    </row>
    <row r="43" spans="1:7" x14ac:dyDescent="0.25">
      <c r="A43" s="5">
        <v>44041</v>
      </c>
      <c r="B43" s="6" t="s">
        <v>14</v>
      </c>
      <c r="C43" s="6" t="s">
        <v>80</v>
      </c>
      <c r="D43" s="6" t="s">
        <v>92</v>
      </c>
      <c r="E43" s="6" t="s">
        <v>126</v>
      </c>
      <c r="F43" s="7">
        <f t="shared" si="2"/>
        <v>4.2361111111111238E-2</v>
      </c>
      <c r="G43" s="8">
        <f t="shared" si="1"/>
        <v>1.5965277777777807</v>
      </c>
    </row>
    <row r="44" spans="1:7" x14ac:dyDescent="0.25">
      <c r="A44" s="5">
        <v>44042</v>
      </c>
      <c r="B44" s="6" t="s">
        <v>7</v>
      </c>
      <c r="C44" s="6" t="s">
        <v>80</v>
      </c>
      <c r="D44" s="6" t="s">
        <v>92</v>
      </c>
      <c r="E44" s="6" t="s">
        <v>125</v>
      </c>
      <c r="F44" s="7">
        <f t="shared" si="2"/>
        <v>2.5000000000000078E-2</v>
      </c>
      <c r="G44" s="8">
        <f t="shared" si="1"/>
        <v>1.6215277777777808</v>
      </c>
    </row>
    <row r="45" spans="1:7" x14ac:dyDescent="0.25">
      <c r="A45" s="5">
        <v>44043</v>
      </c>
      <c r="B45" s="6" t="s">
        <v>28</v>
      </c>
      <c r="C45" s="6" t="s">
        <v>80</v>
      </c>
      <c r="D45" s="6" t="s">
        <v>92</v>
      </c>
      <c r="E45" s="6" t="s">
        <v>127</v>
      </c>
      <c r="F45" s="7">
        <f t="shared" si="2"/>
        <v>-2.1527777777777701E-2</v>
      </c>
      <c r="G45" s="8">
        <f t="shared" si="1"/>
        <v>1.6000000000000032</v>
      </c>
    </row>
    <row r="46" spans="1:7" x14ac:dyDescent="0.25">
      <c r="A46" s="5">
        <v>44044</v>
      </c>
      <c r="B46" s="6" t="s">
        <v>29</v>
      </c>
      <c r="C46" s="6" t="s">
        <v>80</v>
      </c>
      <c r="D46" s="6" t="s">
        <v>92</v>
      </c>
      <c r="E46" s="6" t="s">
        <v>27</v>
      </c>
      <c r="F46" s="7">
        <f t="shared" si="2"/>
        <v>3.0555555555555558E-2</v>
      </c>
      <c r="G46" s="8">
        <f t="shared" si="1"/>
        <v>1.6305555555555586</v>
      </c>
    </row>
    <row r="47" spans="1:7" x14ac:dyDescent="0.25">
      <c r="A47" s="5">
        <v>44047</v>
      </c>
      <c r="B47" s="6" t="s">
        <v>30</v>
      </c>
      <c r="C47" s="6" t="s">
        <v>80</v>
      </c>
      <c r="D47" s="6" t="s">
        <v>92</v>
      </c>
      <c r="E47" s="6" t="s">
        <v>102</v>
      </c>
      <c r="F47" s="7">
        <f t="shared" si="2"/>
        <v>1.6666666666666774E-2</v>
      </c>
      <c r="G47" s="8">
        <f t="shared" si="1"/>
        <v>1.6472222222222255</v>
      </c>
    </row>
    <row r="48" spans="1:7" x14ac:dyDescent="0.25">
      <c r="A48" s="5">
        <v>44048</v>
      </c>
      <c r="B48" s="6" t="s">
        <v>16</v>
      </c>
      <c r="C48" s="6" t="s">
        <v>80</v>
      </c>
      <c r="D48" s="6" t="s">
        <v>92</v>
      </c>
      <c r="E48" s="6" t="s">
        <v>128</v>
      </c>
      <c r="F48" s="7">
        <f t="shared" si="2"/>
        <v>3.2638888888888939E-2</v>
      </c>
      <c r="G48" s="8">
        <f t="shared" si="1"/>
        <v>1.6798611111111144</v>
      </c>
    </row>
    <row r="49" spans="1:7" x14ac:dyDescent="0.25">
      <c r="A49" s="5">
        <v>44049</v>
      </c>
      <c r="B49" s="6" t="s">
        <v>31</v>
      </c>
      <c r="C49" s="6" t="s">
        <v>80</v>
      </c>
      <c r="D49" s="6" t="s">
        <v>92</v>
      </c>
      <c r="E49" s="6" t="s">
        <v>104</v>
      </c>
      <c r="F49" s="7">
        <f t="shared" si="2"/>
        <v>4.5833333333333337E-2</v>
      </c>
      <c r="G49" s="8">
        <f t="shared" si="1"/>
        <v>1.7256944444444478</v>
      </c>
    </row>
    <row r="50" spans="1:7" x14ac:dyDescent="0.25">
      <c r="A50" s="5">
        <v>44050</v>
      </c>
      <c r="B50" s="6" t="s">
        <v>32</v>
      </c>
      <c r="C50" s="6" t="s">
        <v>80</v>
      </c>
      <c r="D50" s="6" t="s">
        <v>92</v>
      </c>
      <c r="E50" s="6" t="s">
        <v>129</v>
      </c>
      <c r="F50" s="7">
        <f t="shared" si="2"/>
        <v>4.0972222222222243E-2</v>
      </c>
      <c r="G50" s="8">
        <f t="shared" si="1"/>
        <v>1.7666666666666699</v>
      </c>
    </row>
    <row r="51" spans="1:7" x14ac:dyDescent="0.25">
      <c r="A51" s="5">
        <v>44051</v>
      </c>
      <c r="B51" s="6" t="s">
        <v>5</v>
      </c>
      <c r="C51" s="6" t="s">
        <v>80</v>
      </c>
      <c r="D51" s="6" t="s">
        <v>92</v>
      </c>
      <c r="E51" s="6" t="s">
        <v>88</v>
      </c>
      <c r="F51" s="7">
        <f t="shared" si="2"/>
        <v>2.7083333333333404E-2</v>
      </c>
      <c r="G51" s="8">
        <f t="shared" si="1"/>
        <v>1.7937500000000033</v>
      </c>
    </row>
    <row r="52" spans="1:7" x14ac:dyDescent="0.25">
      <c r="A52" s="5">
        <v>44054</v>
      </c>
      <c r="B52" s="6" t="s">
        <v>22</v>
      </c>
      <c r="C52" s="6" t="s">
        <v>80</v>
      </c>
      <c r="D52" s="6" t="s">
        <v>92</v>
      </c>
      <c r="E52" s="6" t="s">
        <v>130</v>
      </c>
      <c r="F52" s="7">
        <f t="shared" si="2"/>
        <v>3.8888888888889028E-2</v>
      </c>
      <c r="G52" s="8">
        <f t="shared" si="1"/>
        <v>1.8326388888888923</v>
      </c>
    </row>
    <row r="53" spans="1:7" x14ac:dyDescent="0.25">
      <c r="A53" s="5">
        <v>44055</v>
      </c>
      <c r="B53" s="6" t="s">
        <v>17</v>
      </c>
      <c r="C53" s="6" t="s">
        <v>80</v>
      </c>
      <c r="D53" s="6" t="s">
        <v>92</v>
      </c>
      <c r="E53" s="6" t="s">
        <v>131</v>
      </c>
      <c r="F53" s="7">
        <f t="shared" si="2"/>
        <v>4.861111111111116E-2</v>
      </c>
      <c r="G53" s="8">
        <f t="shared" si="1"/>
        <v>1.8812500000000034</v>
      </c>
    </row>
    <row r="54" spans="1:7" x14ac:dyDescent="0.25">
      <c r="A54" s="5">
        <v>44056</v>
      </c>
      <c r="B54" s="6" t="s">
        <v>21</v>
      </c>
      <c r="C54" s="6" t="s">
        <v>80</v>
      </c>
      <c r="D54" s="6" t="s">
        <v>92</v>
      </c>
      <c r="E54" s="6" t="s">
        <v>82</v>
      </c>
      <c r="F54" s="7">
        <f t="shared" si="2"/>
        <v>6.1805555555555614E-2</v>
      </c>
      <c r="G54" s="8">
        <f t="shared" si="1"/>
        <v>1.9430555555555591</v>
      </c>
    </row>
    <row r="55" spans="1:7" x14ac:dyDescent="0.25">
      <c r="A55" s="5">
        <v>44057</v>
      </c>
      <c r="B55" s="6" t="s">
        <v>25</v>
      </c>
      <c r="C55" s="6" t="s">
        <v>80</v>
      </c>
      <c r="D55" s="6" t="s">
        <v>92</v>
      </c>
      <c r="E55" s="6" t="s">
        <v>132</v>
      </c>
      <c r="F55" s="7">
        <f t="shared" si="2"/>
        <v>3.1250000000000056E-2</v>
      </c>
      <c r="G55" s="8">
        <f t="shared" si="1"/>
        <v>1.9743055555555591</v>
      </c>
    </row>
    <row r="56" spans="1:7" x14ac:dyDescent="0.25">
      <c r="A56" s="5">
        <v>44058</v>
      </c>
      <c r="B56" s="6" t="s">
        <v>33</v>
      </c>
      <c r="C56" s="6" t="s">
        <v>80</v>
      </c>
      <c r="D56" s="6" t="s">
        <v>92</v>
      </c>
      <c r="E56" s="6" t="s">
        <v>133</v>
      </c>
      <c r="F56" s="7">
        <f t="shared" si="2"/>
        <v>9.0277777777779122E-3</v>
      </c>
      <c r="G56" s="8">
        <f t="shared" si="1"/>
        <v>1.9833333333333369</v>
      </c>
    </row>
    <row r="57" spans="1:7" x14ac:dyDescent="0.25">
      <c r="A57" s="5">
        <v>44061</v>
      </c>
      <c r="B57" s="6" t="s">
        <v>34</v>
      </c>
      <c r="C57" s="6" t="s">
        <v>80</v>
      </c>
      <c r="D57" s="6" t="s">
        <v>92</v>
      </c>
      <c r="E57" s="6" t="s">
        <v>134</v>
      </c>
      <c r="F57" s="7">
        <f t="shared" si="2"/>
        <v>0.20208333333333334</v>
      </c>
      <c r="G57" s="8">
        <f t="shared" si="1"/>
        <v>2.1854166666666703</v>
      </c>
    </row>
    <row r="58" spans="1:7" x14ac:dyDescent="0.25">
      <c r="A58" s="5">
        <v>44062</v>
      </c>
      <c r="B58" s="6" t="s">
        <v>35</v>
      </c>
      <c r="C58" s="6" t="s">
        <v>80</v>
      </c>
      <c r="D58" s="6" t="s">
        <v>92</v>
      </c>
      <c r="E58" s="6" t="s">
        <v>135</v>
      </c>
      <c r="F58" s="7">
        <f t="shared" si="2"/>
        <v>0.13611111111111124</v>
      </c>
      <c r="G58" s="8">
        <f t="shared" si="1"/>
        <v>2.3215277777777814</v>
      </c>
    </row>
    <row r="59" spans="1:7" x14ac:dyDescent="0.25">
      <c r="A59" s="5">
        <v>44063</v>
      </c>
      <c r="B59" s="6" t="s">
        <v>36</v>
      </c>
      <c r="C59" s="6" t="s">
        <v>80</v>
      </c>
      <c r="D59" s="6" t="s">
        <v>92</v>
      </c>
      <c r="E59" s="6" t="s">
        <v>136</v>
      </c>
      <c r="F59" s="7">
        <f t="shared" si="2"/>
        <v>0.15277777777777785</v>
      </c>
      <c r="G59" s="8">
        <f t="shared" si="1"/>
        <v>2.4743055555555591</v>
      </c>
    </row>
    <row r="60" spans="1:7" x14ac:dyDescent="0.25">
      <c r="A60" s="5">
        <v>44064</v>
      </c>
      <c r="B60" s="6" t="s">
        <v>37</v>
      </c>
      <c r="C60" s="6" t="s">
        <v>80</v>
      </c>
      <c r="D60" s="6" t="s">
        <v>92</v>
      </c>
      <c r="E60" s="6" t="s">
        <v>137</v>
      </c>
      <c r="F60" s="7">
        <f t="shared" si="2"/>
        <v>0.18194444444444441</v>
      </c>
      <c r="G60" s="8">
        <f t="shared" si="1"/>
        <v>2.6562500000000036</v>
      </c>
    </row>
    <row r="61" spans="1:7" x14ac:dyDescent="0.25">
      <c r="A61" s="5">
        <v>44065</v>
      </c>
      <c r="B61" s="6" t="s">
        <v>38</v>
      </c>
      <c r="C61" s="6" t="s">
        <v>80</v>
      </c>
      <c r="D61" s="6" t="s">
        <v>92</v>
      </c>
      <c r="E61" s="6" t="s">
        <v>138</v>
      </c>
      <c r="F61" s="7">
        <f t="shared" ref="F61:F92" si="3">E61-B61-(D61-C61)-"8:48"</f>
        <v>7.5694444444444453E-2</v>
      </c>
      <c r="G61" s="8">
        <f t="shared" si="1"/>
        <v>2.7319444444444478</v>
      </c>
    </row>
    <row r="62" spans="1:7" x14ac:dyDescent="0.25">
      <c r="A62" s="5">
        <v>44068</v>
      </c>
      <c r="B62" s="6" t="s">
        <v>6</v>
      </c>
      <c r="C62" s="6" t="s">
        <v>80</v>
      </c>
      <c r="D62" s="6" t="s">
        <v>92</v>
      </c>
      <c r="E62" s="6" t="s">
        <v>139</v>
      </c>
      <c r="F62" s="7">
        <f t="shared" si="3"/>
        <v>6.9444444444444753E-3</v>
      </c>
      <c r="G62" s="8">
        <f t="shared" si="1"/>
        <v>2.7388888888888925</v>
      </c>
    </row>
    <row r="63" spans="1:7" x14ac:dyDescent="0.25">
      <c r="A63" s="5">
        <v>44069</v>
      </c>
      <c r="B63" s="6" t="s">
        <v>30</v>
      </c>
      <c r="C63" s="6" t="s">
        <v>80</v>
      </c>
      <c r="D63" s="6" t="s">
        <v>92</v>
      </c>
      <c r="E63" s="6" t="s">
        <v>140</v>
      </c>
      <c r="F63" s="7">
        <f t="shared" si="3"/>
        <v>3.4722222222222654E-3</v>
      </c>
      <c r="G63" s="8">
        <f t="shared" si="1"/>
        <v>2.7423611111111148</v>
      </c>
    </row>
    <row r="64" spans="1:7" x14ac:dyDescent="0.25">
      <c r="A64" s="5">
        <v>44070</v>
      </c>
      <c r="B64" s="6" t="s">
        <v>30</v>
      </c>
      <c r="C64" s="6" t="s">
        <v>80</v>
      </c>
      <c r="D64" s="6" t="s">
        <v>92</v>
      </c>
      <c r="E64" s="6" t="s">
        <v>141</v>
      </c>
      <c r="F64" s="7">
        <f t="shared" si="3"/>
        <v>2.916666666666673E-2</v>
      </c>
      <c r="G64" s="8">
        <f t="shared" si="1"/>
        <v>2.7715277777777816</v>
      </c>
    </row>
    <row r="65" spans="1:7" x14ac:dyDescent="0.25">
      <c r="A65" s="5">
        <v>44071</v>
      </c>
      <c r="B65" s="6" t="s">
        <v>14</v>
      </c>
      <c r="C65" s="6" t="s">
        <v>80</v>
      </c>
      <c r="D65" s="6" t="s">
        <v>92</v>
      </c>
      <c r="E65" s="6" t="s">
        <v>95</v>
      </c>
      <c r="F65" s="7">
        <f t="shared" si="3"/>
        <v>7.6388888888889173E-3</v>
      </c>
      <c r="G65" s="8">
        <f t="shared" si="1"/>
        <v>2.7791666666666703</v>
      </c>
    </row>
    <row r="66" spans="1:7" x14ac:dyDescent="0.25">
      <c r="A66" s="5">
        <v>44072</v>
      </c>
      <c r="B66" s="6" t="s">
        <v>14</v>
      </c>
      <c r="C66" s="6" t="s">
        <v>80</v>
      </c>
      <c r="D66" s="6" t="s">
        <v>92</v>
      </c>
      <c r="E66" s="6" t="s">
        <v>117</v>
      </c>
      <c r="F66" s="7">
        <f t="shared" si="3"/>
        <v>-4.1666666666665964E-3</v>
      </c>
      <c r="G66" s="8">
        <f t="shared" si="1"/>
        <v>2.7750000000000039</v>
      </c>
    </row>
    <row r="67" spans="1:7" x14ac:dyDescent="0.25">
      <c r="A67" s="5">
        <v>44075</v>
      </c>
      <c r="B67" s="6" t="s">
        <v>15</v>
      </c>
      <c r="C67" s="6" t="s">
        <v>80</v>
      </c>
      <c r="D67" s="6" t="s">
        <v>92</v>
      </c>
      <c r="E67" s="6" t="s">
        <v>142</v>
      </c>
      <c r="F67" s="7">
        <f t="shared" si="3"/>
        <v>4.3750000000000067E-2</v>
      </c>
      <c r="G67" s="8">
        <f t="shared" si="1"/>
        <v>2.8187500000000041</v>
      </c>
    </row>
    <row r="68" spans="1:7" x14ac:dyDescent="0.25">
      <c r="A68" s="5">
        <v>44076</v>
      </c>
      <c r="B68" s="6" t="s">
        <v>39</v>
      </c>
      <c r="C68" s="6" t="s">
        <v>80</v>
      </c>
      <c r="D68" s="6" t="s">
        <v>92</v>
      </c>
      <c r="E68" s="6" t="s">
        <v>113</v>
      </c>
      <c r="F68" s="7">
        <f t="shared" si="3"/>
        <v>5.5555555555556468E-3</v>
      </c>
      <c r="G68" s="8">
        <f t="shared" si="1"/>
        <v>2.8243055555555596</v>
      </c>
    </row>
    <row r="69" spans="1:7" x14ac:dyDescent="0.25">
      <c r="A69" s="5">
        <v>44077</v>
      </c>
      <c r="B69" s="6" t="s">
        <v>20</v>
      </c>
      <c r="C69" s="6" t="s">
        <v>80</v>
      </c>
      <c r="D69" s="6" t="s">
        <v>92</v>
      </c>
      <c r="E69" s="6" t="s">
        <v>141</v>
      </c>
      <c r="F69" s="7">
        <f t="shared" si="3"/>
        <v>3.1250000000000056E-2</v>
      </c>
      <c r="G69" s="8">
        <f t="shared" ref="G69:G132" si="4">F69+G68</f>
        <v>2.8555555555555596</v>
      </c>
    </row>
    <row r="70" spans="1:7" x14ac:dyDescent="0.25">
      <c r="A70" s="5">
        <v>44078</v>
      </c>
      <c r="B70" s="6" t="s">
        <v>16</v>
      </c>
      <c r="C70" s="6" t="s">
        <v>80</v>
      </c>
      <c r="D70" s="6" t="s">
        <v>92</v>
      </c>
      <c r="E70" s="6" t="s">
        <v>143</v>
      </c>
      <c r="F70" s="7">
        <f t="shared" si="3"/>
        <v>3.1944444444444497E-2</v>
      </c>
      <c r="G70" s="8">
        <f t="shared" si="4"/>
        <v>2.8875000000000042</v>
      </c>
    </row>
    <row r="71" spans="1:7" x14ac:dyDescent="0.25">
      <c r="A71" s="5">
        <v>44079</v>
      </c>
      <c r="B71" s="6" t="s">
        <v>33</v>
      </c>
      <c r="C71" s="6" t="s">
        <v>80</v>
      </c>
      <c r="D71" s="6" t="s">
        <v>92</v>
      </c>
      <c r="E71" s="6" t="s">
        <v>120</v>
      </c>
      <c r="F71" s="7">
        <f t="shared" si="3"/>
        <v>-2.0833333333332704E-3</v>
      </c>
      <c r="G71" s="8">
        <f t="shared" si="4"/>
        <v>2.885416666666671</v>
      </c>
    </row>
    <row r="72" spans="1:7" x14ac:dyDescent="0.25">
      <c r="A72" s="5">
        <v>44082</v>
      </c>
      <c r="B72" s="6" t="s">
        <v>40</v>
      </c>
      <c r="C72" s="6" t="s">
        <v>80</v>
      </c>
      <c r="D72" s="6" t="s">
        <v>92</v>
      </c>
      <c r="E72" s="6" t="s">
        <v>144</v>
      </c>
      <c r="F72" s="7">
        <f t="shared" si="3"/>
        <v>6.1805555555555614E-2</v>
      </c>
      <c r="G72" s="8">
        <f t="shared" si="4"/>
        <v>2.9472222222222264</v>
      </c>
    </row>
    <row r="73" spans="1:7" x14ac:dyDescent="0.25">
      <c r="A73" s="5">
        <v>44083</v>
      </c>
      <c r="B73" s="6" t="s">
        <v>40</v>
      </c>
      <c r="C73" s="6" t="s">
        <v>80</v>
      </c>
      <c r="D73" s="6" t="s">
        <v>92</v>
      </c>
      <c r="E73" s="6" t="s">
        <v>145</v>
      </c>
      <c r="F73" s="7">
        <f t="shared" si="3"/>
        <v>5.1388888888888984E-2</v>
      </c>
      <c r="G73" s="8">
        <f t="shared" si="4"/>
        <v>2.9986111111111153</v>
      </c>
    </row>
    <row r="74" spans="1:7" x14ac:dyDescent="0.25">
      <c r="A74" s="5">
        <v>44084</v>
      </c>
      <c r="B74" s="6" t="s">
        <v>41</v>
      </c>
      <c r="C74" s="6" t="s">
        <v>80</v>
      </c>
      <c r="D74" s="6" t="s">
        <v>92</v>
      </c>
      <c r="E74" s="6" t="s">
        <v>146</v>
      </c>
      <c r="F74" s="7">
        <f t="shared" si="3"/>
        <v>2.9861111111111227E-2</v>
      </c>
      <c r="G74" s="8">
        <f t="shared" si="4"/>
        <v>3.0284722222222267</v>
      </c>
    </row>
    <row r="75" spans="1:7" x14ac:dyDescent="0.25">
      <c r="A75" s="5">
        <v>44085</v>
      </c>
      <c r="B75" s="6" t="s">
        <v>16</v>
      </c>
      <c r="C75" s="6" t="s">
        <v>80</v>
      </c>
      <c r="D75" s="6" t="s">
        <v>92</v>
      </c>
      <c r="E75" s="6" t="s">
        <v>83</v>
      </c>
      <c r="F75" s="7">
        <f t="shared" si="3"/>
        <v>2.8472222222222288E-2</v>
      </c>
      <c r="G75" s="8">
        <f t="shared" si="4"/>
        <v>3.0569444444444489</v>
      </c>
    </row>
    <row r="76" spans="1:7" x14ac:dyDescent="0.25">
      <c r="A76" s="5">
        <v>44086</v>
      </c>
      <c r="B76" s="6" t="s">
        <v>5</v>
      </c>
      <c r="C76" s="6" t="s">
        <v>80</v>
      </c>
      <c r="D76" s="6" t="s">
        <v>92</v>
      </c>
      <c r="E76" s="6" t="s">
        <v>147</v>
      </c>
      <c r="F76" s="7">
        <f t="shared" si="3"/>
        <v>1.180555555555568E-2</v>
      </c>
      <c r="G76" s="8">
        <f t="shared" si="4"/>
        <v>3.0687500000000045</v>
      </c>
    </row>
    <row r="77" spans="1:7" x14ac:dyDescent="0.25">
      <c r="A77" s="5">
        <v>44089</v>
      </c>
      <c r="B77" s="6" t="s">
        <v>42</v>
      </c>
      <c r="C77" s="6" t="s">
        <v>80</v>
      </c>
      <c r="D77" s="6" t="s">
        <v>92</v>
      </c>
      <c r="E77" s="6" t="s">
        <v>119</v>
      </c>
      <c r="F77" s="7">
        <f t="shared" si="3"/>
        <v>4.3055555555555625E-2</v>
      </c>
      <c r="G77" s="8">
        <f t="shared" si="4"/>
        <v>3.1118055555555602</v>
      </c>
    </row>
    <row r="78" spans="1:7" x14ac:dyDescent="0.25">
      <c r="A78" s="5">
        <v>44090</v>
      </c>
      <c r="B78" s="6" t="s">
        <v>32</v>
      </c>
      <c r="C78" s="6" t="s">
        <v>80</v>
      </c>
      <c r="D78" s="6" t="s">
        <v>92</v>
      </c>
      <c r="E78" s="6" t="s">
        <v>148</v>
      </c>
      <c r="F78" s="7">
        <f t="shared" si="3"/>
        <v>-6.1111111111111061E-2</v>
      </c>
      <c r="G78" s="8">
        <f t="shared" si="4"/>
        <v>3.0506944444444493</v>
      </c>
    </row>
    <row r="79" spans="1:7" x14ac:dyDescent="0.25">
      <c r="A79" s="5">
        <v>44091</v>
      </c>
      <c r="B79" s="6" t="s">
        <v>6</v>
      </c>
      <c r="C79" s="6" t="s">
        <v>80</v>
      </c>
      <c r="D79" s="6" t="s">
        <v>92</v>
      </c>
      <c r="E79" s="6" t="s">
        <v>99</v>
      </c>
      <c r="F79" s="7">
        <f t="shared" si="3"/>
        <v>3.1944444444444497E-2</v>
      </c>
      <c r="G79" s="8">
        <f t="shared" si="4"/>
        <v>3.0826388888888938</v>
      </c>
    </row>
    <row r="80" spans="1:7" x14ac:dyDescent="0.25">
      <c r="A80" s="5">
        <v>44092</v>
      </c>
      <c r="B80" s="6" t="s">
        <v>29</v>
      </c>
      <c r="C80" s="6" t="s">
        <v>80</v>
      </c>
      <c r="D80" s="6" t="s">
        <v>92</v>
      </c>
      <c r="E80" s="6" t="s">
        <v>149</v>
      </c>
      <c r="F80" s="7">
        <f t="shared" si="3"/>
        <v>-1.5277777777777724E-2</v>
      </c>
      <c r="G80" s="8">
        <f t="shared" si="4"/>
        <v>3.0673611111111159</v>
      </c>
    </row>
    <row r="81" spans="1:7" x14ac:dyDescent="0.25">
      <c r="A81" s="5">
        <v>44093</v>
      </c>
      <c r="B81" s="6" t="s">
        <v>8</v>
      </c>
      <c r="C81" s="6" t="s">
        <v>80</v>
      </c>
      <c r="D81" s="6" t="s">
        <v>92</v>
      </c>
      <c r="E81" s="6" t="s">
        <v>131</v>
      </c>
      <c r="F81" s="7">
        <f t="shared" si="3"/>
        <v>6.2500000000000056E-2</v>
      </c>
      <c r="G81" s="8">
        <f t="shared" si="4"/>
        <v>3.1298611111111159</v>
      </c>
    </row>
    <row r="82" spans="1:7" x14ac:dyDescent="0.25">
      <c r="A82" s="5">
        <v>44096</v>
      </c>
      <c r="B82" s="6" t="s">
        <v>33</v>
      </c>
      <c r="C82" s="6" t="s">
        <v>80</v>
      </c>
      <c r="D82" s="6" t="s">
        <v>92</v>
      </c>
      <c r="E82" s="6" t="s">
        <v>118</v>
      </c>
      <c r="F82" s="7">
        <f t="shared" si="3"/>
        <v>-6.2499999999999223E-3</v>
      </c>
      <c r="G82" s="8">
        <f t="shared" si="4"/>
        <v>3.1236111111111158</v>
      </c>
    </row>
    <row r="83" spans="1:7" x14ac:dyDescent="0.25">
      <c r="A83" s="5">
        <v>44097</v>
      </c>
      <c r="B83" s="6" t="s">
        <v>43</v>
      </c>
      <c r="C83" s="6" t="s">
        <v>80</v>
      </c>
      <c r="D83" s="6" t="s">
        <v>92</v>
      </c>
      <c r="E83" s="6" t="s">
        <v>150</v>
      </c>
      <c r="F83" s="7">
        <f t="shared" si="3"/>
        <v>1.736111111111116E-2</v>
      </c>
      <c r="G83" s="8">
        <f t="shared" si="4"/>
        <v>3.1409722222222269</v>
      </c>
    </row>
    <row r="84" spans="1:7" x14ac:dyDescent="0.25">
      <c r="A84" s="5">
        <v>44098</v>
      </c>
      <c r="B84" s="6" t="s">
        <v>7</v>
      </c>
      <c r="C84" s="6" t="s">
        <v>80</v>
      </c>
      <c r="D84" s="6" t="s">
        <v>92</v>
      </c>
      <c r="E84" s="6" t="s">
        <v>89</v>
      </c>
      <c r="F84" s="7">
        <f t="shared" si="3"/>
        <v>5.5555555555555636E-2</v>
      </c>
      <c r="G84" s="8">
        <f t="shared" si="4"/>
        <v>3.1965277777777827</v>
      </c>
    </row>
    <row r="85" spans="1:7" x14ac:dyDescent="0.25">
      <c r="A85" s="5">
        <v>44099</v>
      </c>
      <c r="B85" s="6" t="s">
        <v>16</v>
      </c>
      <c r="C85" s="6" t="s">
        <v>80</v>
      </c>
      <c r="D85" s="6" t="s">
        <v>92</v>
      </c>
      <c r="E85" s="6" t="s">
        <v>151</v>
      </c>
      <c r="F85" s="7">
        <f t="shared" si="3"/>
        <v>1.87500000000001E-2</v>
      </c>
      <c r="G85" s="8">
        <f t="shared" si="4"/>
        <v>3.215277777777783</v>
      </c>
    </row>
    <row r="86" spans="1:7" x14ac:dyDescent="0.25">
      <c r="A86" s="5">
        <v>44100</v>
      </c>
      <c r="B86" s="6" t="s">
        <v>25</v>
      </c>
      <c r="C86" s="6" t="s">
        <v>80</v>
      </c>
      <c r="D86" s="6" t="s">
        <v>92</v>
      </c>
      <c r="E86" s="6" t="s">
        <v>96</v>
      </c>
      <c r="F86" s="7">
        <f t="shared" si="3"/>
        <v>1.8055555555555658E-2</v>
      </c>
      <c r="G86" s="8">
        <f t="shared" si="4"/>
        <v>3.2333333333333387</v>
      </c>
    </row>
    <row r="87" spans="1:7" x14ac:dyDescent="0.25">
      <c r="A87" s="5">
        <v>44103</v>
      </c>
      <c r="B87" s="6" t="s">
        <v>40</v>
      </c>
      <c r="C87" s="6" t="s">
        <v>80</v>
      </c>
      <c r="D87" s="6" t="s">
        <v>92</v>
      </c>
      <c r="E87" s="6" t="s">
        <v>152</v>
      </c>
      <c r="F87" s="7">
        <f t="shared" si="3"/>
        <v>3.1944444444444497E-2</v>
      </c>
      <c r="G87" s="8">
        <f t="shared" si="4"/>
        <v>3.2652777777777833</v>
      </c>
    </row>
    <row r="88" spans="1:7" x14ac:dyDescent="0.25">
      <c r="A88" s="5">
        <v>44104</v>
      </c>
      <c r="B88" s="6" t="s">
        <v>44</v>
      </c>
      <c r="C88" s="6" t="s">
        <v>80</v>
      </c>
      <c r="D88" s="6" t="s">
        <v>92</v>
      </c>
      <c r="E88" s="6" t="s">
        <v>153</v>
      </c>
      <c r="F88" s="7">
        <f t="shared" si="3"/>
        <v>5.9722222222222288E-2</v>
      </c>
      <c r="G88" s="8">
        <f t="shared" si="4"/>
        <v>3.3250000000000055</v>
      </c>
    </row>
    <row r="89" spans="1:7" x14ac:dyDescent="0.25">
      <c r="A89" s="5">
        <v>44105</v>
      </c>
      <c r="B89" s="6" t="s">
        <v>32</v>
      </c>
      <c r="C89" s="6" t="s">
        <v>80</v>
      </c>
      <c r="D89" s="6" t="s">
        <v>92</v>
      </c>
      <c r="E89" s="6" t="s">
        <v>154</v>
      </c>
      <c r="F89" s="7">
        <f t="shared" si="3"/>
        <v>2.5000000000000078E-2</v>
      </c>
      <c r="G89" s="8">
        <f t="shared" si="4"/>
        <v>3.3500000000000054</v>
      </c>
    </row>
    <row r="90" spans="1:7" x14ac:dyDescent="0.25">
      <c r="A90" s="5">
        <v>44106</v>
      </c>
      <c r="B90" s="6" t="s">
        <v>20</v>
      </c>
      <c r="C90" s="10">
        <v>0.54513888888888884</v>
      </c>
      <c r="D90" s="10">
        <v>0.63958333333333328</v>
      </c>
      <c r="E90" s="6" t="s">
        <v>155</v>
      </c>
      <c r="F90" s="7">
        <f>E90-B90-(D90-C90)-"8:48"-"1:00"</f>
        <v>-9.9305555555555508E-2</v>
      </c>
      <c r="G90" s="8">
        <f t="shared" si="4"/>
        <v>3.2506944444444499</v>
      </c>
    </row>
    <row r="91" spans="1:7" x14ac:dyDescent="0.25">
      <c r="A91" s="5">
        <v>44107</v>
      </c>
      <c r="B91" s="6" t="s">
        <v>22</v>
      </c>
      <c r="C91" s="6" t="s">
        <v>80</v>
      </c>
      <c r="D91" s="6" t="s">
        <v>92</v>
      </c>
      <c r="E91" s="6" t="s">
        <v>106</v>
      </c>
      <c r="F91" s="7">
        <f t="shared" ref="F91:F120" si="5">E91-B91-(D91-C91)-"8:48"</f>
        <v>2.7777777777777846E-2</v>
      </c>
      <c r="G91" s="8">
        <f t="shared" si="4"/>
        <v>3.2784722222222276</v>
      </c>
    </row>
    <row r="92" spans="1:7" x14ac:dyDescent="0.25">
      <c r="A92" s="5">
        <v>44110</v>
      </c>
      <c r="B92" s="6" t="s">
        <v>25</v>
      </c>
      <c r="C92" s="6" t="s">
        <v>80</v>
      </c>
      <c r="D92" s="6" t="s">
        <v>92</v>
      </c>
      <c r="E92" s="6" t="s">
        <v>139</v>
      </c>
      <c r="F92" s="7">
        <f t="shared" si="5"/>
        <v>-6.9444444444438647E-4</v>
      </c>
      <c r="G92" s="8">
        <f t="shared" si="4"/>
        <v>3.277777777777783</v>
      </c>
    </row>
    <row r="93" spans="1:7" x14ac:dyDescent="0.25">
      <c r="A93" s="5">
        <v>44111</v>
      </c>
      <c r="B93" s="6" t="s">
        <v>33</v>
      </c>
      <c r="C93" s="6" t="s">
        <v>80</v>
      </c>
      <c r="D93" s="6" t="s">
        <v>92</v>
      </c>
      <c r="E93" s="6" t="s">
        <v>156</v>
      </c>
      <c r="F93" s="7">
        <f t="shared" si="5"/>
        <v>4.652777777777789E-2</v>
      </c>
      <c r="G93" s="8">
        <f t="shared" si="4"/>
        <v>3.324305555555561</v>
      </c>
    </row>
    <row r="94" spans="1:7" x14ac:dyDescent="0.25">
      <c r="A94" s="5">
        <v>44112</v>
      </c>
      <c r="B94" s="6" t="s">
        <v>45</v>
      </c>
      <c r="C94" s="6" t="s">
        <v>80</v>
      </c>
      <c r="D94" s="6" t="s">
        <v>92</v>
      </c>
      <c r="E94" s="6" t="s">
        <v>157</v>
      </c>
      <c r="F94" s="7">
        <f t="shared" si="5"/>
        <v>-8.194444444444432E-2</v>
      </c>
      <c r="G94" s="8">
        <f t="shared" si="4"/>
        <v>3.2423611111111166</v>
      </c>
    </row>
    <row r="95" spans="1:7" x14ac:dyDescent="0.25">
      <c r="A95" s="5">
        <v>44113</v>
      </c>
      <c r="B95" s="6" t="s">
        <v>30</v>
      </c>
      <c r="C95" s="6" t="s">
        <v>80</v>
      </c>
      <c r="D95" s="6" t="s">
        <v>92</v>
      </c>
      <c r="E95" s="6" t="s">
        <v>84</v>
      </c>
      <c r="F95" s="7">
        <f t="shared" si="5"/>
        <v>6.9444444444449749E-4</v>
      </c>
      <c r="G95" s="8">
        <f t="shared" si="4"/>
        <v>3.2430555555555611</v>
      </c>
    </row>
    <row r="96" spans="1:7" x14ac:dyDescent="0.25">
      <c r="A96" s="5">
        <v>44114</v>
      </c>
      <c r="B96" s="6" t="s">
        <v>25</v>
      </c>
      <c r="C96" s="6" t="s">
        <v>80</v>
      </c>
      <c r="D96" s="6" t="s">
        <v>92</v>
      </c>
      <c r="E96" s="6" t="s">
        <v>94</v>
      </c>
      <c r="F96" s="7">
        <f t="shared" si="5"/>
        <v>4.0972222222222354E-2</v>
      </c>
      <c r="G96" s="8">
        <f t="shared" si="4"/>
        <v>3.2840277777777835</v>
      </c>
    </row>
    <row r="97" spans="1:7" x14ac:dyDescent="0.25">
      <c r="A97" s="5">
        <v>44117</v>
      </c>
      <c r="B97" s="6" t="s">
        <v>26</v>
      </c>
      <c r="C97" s="6" t="s">
        <v>80</v>
      </c>
      <c r="D97" s="6" t="s">
        <v>92</v>
      </c>
      <c r="E97" s="6" t="s">
        <v>105</v>
      </c>
      <c r="F97" s="7">
        <f t="shared" si="5"/>
        <v>-1.3888888888888284E-3</v>
      </c>
      <c r="G97" s="8">
        <f t="shared" si="4"/>
        <v>3.2826388888888949</v>
      </c>
    </row>
    <row r="98" spans="1:7" x14ac:dyDescent="0.25">
      <c r="A98" s="5">
        <v>44118</v>
      </c>
      <c r="B98" s="6" t="s">
        <v>33</v>
      </c>
      <c r="C98" s="6" t="s">
        <v>80</v>
      </c>
      <c r="D98" s="6" t="s">
        <v>92</v>
      </c>
      <c r="E98" s="6" t="s">
        <v>108</v>
      </c>
      <c r="F98" s="7">
        <f t="shared" si="5"/>
        <v>7.5000000000000122E-2</v>
      </c>
      <c r="G98" s="8">
        <f t="shared" si="4"/>
        <v>3.3576388888888951</v>
      </c>
    </row>
    <row r="99" spans="1:7" x14ac:dyDescent="0.25">
      <c r="A99" s="5">
        <v>44119</v>
      </c>
      <c r="B99" s="6" t="s">
        <v>40</v>
      </c>
      <c r="C99" s="6" t="s">
        <v>80</v>
      </c>
      <c r="D99" s="6" t="s">
        <v>92</v>
      </c>
      <c r="E99" s="6" t="s">
        <v>118</v>
      </c>
      <c r="F99" s="7">
        <f t="shared" si="5"/>
        <v>2.7777777777778234E-3</v>
      </c>
      <c r="G99" s="8">
        <f t="shared" si="4"/>
        <v>3.3604166666666728</v>
      </c>
    </row>
    <row r="100" spans="1:7" x14ac:dyDescent="0.25">
      <c r="A100" s="5">
        <v>44120</v>
      </c>
      <c r="B100" s="6" t="s">
        <v>46</v>
      </c>
      <c r="C100" s="6" t="s">
        <v>80</v>
      </c>
      <c r="D100" s="6" t="s">
        <v>92</v>
      </c>
      <c r="E100" s="6" t="s">
        <v>88</v>
      </c>
      <c r="F100" s="7">
        <f t="shared" si="5"/>
        <v>1.9444444444444486E-2</v>
      </c>
      <c r="G100" s="8">
        <f t="shared" si="4"/>
        <v>3.3798611111111172</v>
      </c>
    </row>
    <row r="101" spans="1:7" x14ac:dyDescent="0.25">
      <c r="A101" s="5">
        <v>44121</v>
      </c>
      <c r="B101" s="6" t="s">
        <v>33</v>
      </c>
      <c r="C101" s="6" t="s">
        <v>80</v>
      </c>
      <c r="D101" s="6" t="s">
        <v>92</v>
      </c>
      <c r="E101" s="6" t="s">
        <v>118</v>
      </c>
      <c r="F101" s="7">
        <f t="shared" si="5"/>
        <v>-6.2499999999999223E-3</v>
      </c>
      <c r="G101" s="8">
        <f t="shared" si="4"/>
        <v>3.3736111111111171</v>
      </c>
    </row>
    <row r="102" spans="1:7" x14ac:dyDescent="0.25">
      <c r="A102" s="5">
        <v>44124</v>
      </c>
      <c r="B102" s="6" t="s">
        <v>22</v>
      </c>
      <c r="C102" s="6" t="s">
        <v>80</v>
      </c>
      <c r="D102" s="6" t="s">
        <v>92</v>
      </c>
      <c r="E102" s="6" t="s">
        <v>84</v>
      </c>
      <c r="F102" s="7">
        <f t="shared" si="5"/>
        <v>-5.5555555555554803E-3</v>
      </c>
      <c r="G102" s="8">
        <f t="shared" si="4"/>
        <v>3.3680555555555616</v>
      </c>
    </row>
    <row r="103" spans="1:7" x14ac:dyDescent="0.25">
      <c r="A103" s="5">
        <v>44125</v>
      </c>
      <c r="B103" s="6" t="s">
        <v>30</v>
      </c>
      <c r="C103" s="6" t="s">
        <v>80</v>
      </c>
      <c r="D103" s="6" t="s">
        <v>92</v>
      </c>
      <c r="E103" s="6" t="s">
        <v>113</v>
      </c>
      <c r="F103" s="7">
        <f t="shared" si="5"/>
        <v>-3.4722222222221544E-3</v>
      </c>
      <c r="G103" s="8">
        <f t="shared" si="4"/>
        <v>3.3645833333333393</v>
      </c>
    </row>
    <row r="104" spans="1:7" x14ac:dyDescent="0.25">
      <c r="A104" s="5">
        <v>44126</v>
      </c>
      <c r="B104" s="9">
        <v>0.34166666666666667</v>
      </c>
      <c r="C104" s="6" t="s">
        <v>80</v>
      </c>
      <c r="D104" s="6" t="s">
        <v>92</v>
      </c>
      <c r="E104" s="6" t="s">
        <v>47</v>
      </c>
      <c r="F104" s="7">
        <f t="shared" si="5"/>
        <v>2.3611111111111194E-2</v>
      </c>
      <c r="G104" s="8">
        <f t="shared" si="4"/>
        <v>3.3881944444444505</v>
      </c>
    </row>
    <row r="105" spans="1:7" x14ac:dyDescent="0.25">
      <c r="A105" s="5">
        <v>44127</v>
      </c>
      <c r="B105" s="6" t="s">
        <v>21</v>
      </c>
      <c r="C105" s="6" t="s">
        <v>80</v>
      </c>
      <c r="D105" s="6" t="s">
        <v>92</v>
      </c>
      <c r="E105" s="6" t="s">
        <v>153</v>
      </c>
      <c r="F105" s="7">
        <f t="shared" si="5"/>
        <v>5.5555555555555636E-2</v>
      </c>
      <c r="G105" s="8">
        <f t="shared" si="4"/>
        <v>3.4437500000000063</v>
      </c>
    </row>
    <row r="106" spans="1:7" x14ac:dyDescent="0.25">
      <c r="A106" s="5">
        <v>44128</v>
      </c>
      <c r="B106" s="6" t="s">
        <v>44</v>
      </c>
      <c r="C106" s="6" t="s">
        <v>80</v>
      </c>
      <c r="D106" s="6" t="s">
        <v>92</v>
      </c>
      <c r="E106" s="6" t="s">
        <v>85</v>
      </c>
      <c r="F106" s="7">
        <f t="shared" si="5"/>
        <v>-1.7361111111111105E-2</v>
      </c>
      <c r="G106" s="8">
        <f t="shared" si="4"/>
        <v>3.4263888888888951</v>
      </c>
    </row>
    <row r="107" spans="1:7" x14ac:dyDescent="0.25">
      <c r="A107" s="5">
        <v>44131</v>
      </c>
      <c r="B107" s="6" t="s">
        <v>29</v>
      </c>
      <c r="C107" s="6" t="s">
        <v>80</v>
      </c>
      <c r="D107" s="6" t="s">
        <v>92</v>
      </c>
      <c r="E107" s="6" t="s">
        <v>87</v>
      </c>
      <c r="F107" s="7">
        <f t="shared" si="5"/>
        <v>-6.9444444444444198E-4</v>
      </c>
      <c r="G107" s="8">
        <f t="shared" si="4"/>
        <v>3.4256944444444506</v>
      </c>
    </row>
    <row r="108" spans="1:7" x14ac:dyDescent="0.25">
      <c r="A108" s="5">
        <v>44132</v>
      </c>
      <c r="B108" s="6" t="s">
        <v>18</v>
      </c>
      <c r="C108" s="6" t="s">
        <v>80</v>
      </c>
      <c r="D108" s="6" t="s">
        <v>92</v>
      </c>
      <c r="E108" s="6" t="s">
        <v>120</v>
      </c>
      <c r="F108" s="7">
        <f t="shared" si="5"/>
        <v>4.1666666666667074E-3</v>
      </c>
      <c r="G108" s="8">
        <f t="shared" si="4"/>
        <v>3.4298611111111175</v>
      </c>
    </row>
    <row r="109" spans="1:7" x14ac:dyDescent="0.25">
      <c r="A109" s="5">
        <v>44133</v>
      </c>
      <c r="B109" s="6" t="s">
        <v>48</v>
      </c>
      <c r="C109" s="6" t="s">
        <v>80</v>
      </c>
      <c r="D109" s="6" t="s">
        <v>92</v>
      </c>
      <c r="E109" s="6" t="s">
        <v>119</v>
      </c>
      <c r="F109" s="7">
        <f t="shared" si="5"/>
        <v>1.736111111111116E-2</v>
      </c>
      <c r="G109" s="8">
        <f t="shared" si="4"/>
        <v>3.4472222222222286</v>
      </c>
    </row>
    <row r="110" spans="1:7" x14ac:dyDescent="0.25">
      <c r="A110" s="5">
        <v>44134</v>
      </c>
      <c r="B110" s="6" t="s">
        <v>6</v>
      </c>
      <c r="C110" s="6" t="s">
        <v>80</v>
      </c>
      <c r="D110" s="6" t="s">
        <v>92</v>
      </c>
      <c r="E110" s="6" t="s">
        <v>97</v>
      </c>
      <c r="F110" s="7">
        <f t="shared" si="5"/>
        <v>2.2916666666666752E-2</v>
      </c>
      <c r="G110" s="8">
        <f t="shared" si="4"/>
        <v>3.4701388888888953</v>
      </c>
    </row>
    <row r="111" spans="1:7" x14ac:dyDescent="0.25">
      <c r="A111" s="5">
        <v>44135</v>
      </c>
      <c r="B111" s="6" t="s">
        <v>31</v>
      </c>
      <c r="C111" s="6" t="s">
        <v>80</v>
      </c>
      <c r="D111" s="6" t="s">
        <v>92</v>
      </c>
      <c r="E111" s="6" t="s">
        <v>158</v>
      </c>
      <c r="F111" s="7">
        <f t="shared" si="5"/>
        <v>-2.0138888888888873E-2</v>
      </c>
      <c r="G111" s="8">
        <f t="shared" si="4"/>
        <v>3.4500000000000064</v>
      </c>
    </row>
    <row r="112" spans="1:7" x14ac:dyDescent="0.25">
      <c r="A112" s="5">
        <v>44138</v>
      </c>
      <c r="B112" s="6" t="s">
        <v>22</v>
      </c>
      <c r="C112" s="6" t="s">
        <v>80</v>
      </c>
      <c r="D112" s="6" t="s">
        <v>92</v>
      </c>
      <c r="E112" s="6" t="s">
        <v>90</v>
      </c>
      <c r="F112" s="7">
        <f t="shared" si="5"/>
        <v>-1.0416666666666574E-2</v>
      </c>
      <c r="G112" s="8">
        <f t="shared" si="4"/>
        <v>3.4395833333333399</v>
      </c>
    </row>
    <row r="113" spans="1:7" x14ac:dyDescent="0.25">
      <c r="A113" s="5">
        <v>44139</v>
      </c>
      <c r="B113" s="6" t="s">
        <v>49</v>
      </c>
      <c r="C113" s="6" t="s">
        <v>80</v>
      </c>
      <c r="D113" s="6" t="s">
        <v>92</v>
      </c>
      <c r="E113" s="6" t="s">
        <v>106</v>
      </c>
      <c r="F113" s="7">
        <f t="shared" si="5"/>
        <v>-6.7361111111111094E-2</v>
      </c>
      <c r="G113" s="8">
        <f t="shared" si="4"/>
        <v>3.3722222222222289</v>
      </c>
    </row>
    <row r="114" spans="1:7" x14ac:dyDescent="0.25">
      <c r="A114" s="5">
        <v>44140</v>
      </c>
      <c r="B114" s="6" t="s">
        <v>50</v>
      </c>
      <c r="C114" s="6" t="s">
        <v>80</v>
      </c>
      <c r="D114" s="6" t="s">
        <v>92</v>
      </c>
      <c r="E114" s="6" t="s">
        <v>47</v>
      </c>
      <c r="F114" s="7">
        <f t="shared" si="5"/>
        <v>-7.9861111111110994E-2</v>
      </c>
      <c r="G114" s="8">
        <f t="shared" si="4"/>
        <v>3.2923611111111177</v>
      </c>
    </row>
    <row r="115" spans="1:7" x14ac:dyDescent="0.25">
      <c r="A115" s="5">
        <v>44141</v>
      </c>
      <c r="B115" s="6" t="s">
        <v>51</v>
      </c>
      <c r="C115" s="6" t="s">
        <v>80</v>
      </c>
      <c r="D115" s="6" t="s">
        <v>92</v>
      </c>
      <c r="E115" s="6" t="s">
        <v>159</v>
      </c>
      <c r="F115" s="7">
        <f t="shared" si="5"/>
        <v>4.8611111111111105E-2</v>
      </c>
      <c r="G115" s="8">
        <f t="shared" si="4"/>
        <v>3.3409722222222289</v>
      </c>
    </row>
    <row r="116" spans="1:7" x14ac:dyDescent="0.25">
      <c r="A116" s="5">
        <v>44142</v>
      </c>
      <c r="B116" s="6" t="s">
        <v>29</v>
      </c>
      <c r="C116" s="6" t="s">
        <v>80</v>
      </c>
      <c r="D116" s="6" t="s">
        <v>92</v>
      </c>
      <c r="E116" s="6" t="s">
        <v>160</v>
      </c>
      <c r="F116" s="7">
        <f t="shared" si="5"/>
        <v>1.4583333333333393E-2</v>
      </c>
      <c r="G116" s="8">
        <f t="shared" si="4"/>
        <v>3.3555555555555623</v>
      </c>
    </row>
    <row r="117" spans="1:7" x14ac:dyDescent="0.25">
      <c r="A117" s="5">
        <v>44145</v>
      </c>
      <c r="B117" s="6" t="s">
        <v>52</v>
      </c>
      <c r="C117" s="6">
        <v>0</v>
      </c>
      <c r="D117" s="6">
        <v>0</v>
      </c>
      <c r="E117" s="6" t="s">
        <v>161</v>
      </c>
      <c r="F117" s="7">
        <f t="shared" si="5"/>
        <v>-0.14513888888888887</v>
      </c>
      <c r="G117" s="8">
        <f t="shared" si="4"/>
        <v>3.2104166666666734</v>
      </c>
    </row>
    <row r="118" spans="1:7" x14ac:dyDescent="0.25">
      <c r="A118" s="5">
        <v>44146</v>
      </c>
      <c r="B118" s="6" t="s">
        <v>33</v>
      </c>
      <c r="C118" s="6" t="s">
        <v>80</v>
      </c>
      <c r="D118" s="6" t="s">
        <v>92</v>
      </c>
      <c r="E118" s="6" t="s">
        <v>147</v>
      </c>
      <c r="F118" s="7">
        <f t="shared" si="5"/>
        <v>1.0416666666666796E-2</v>
      </c>
      <c r="G118" s="8">
        <f t="shared" si="4"/>
        <v>3.2208333333333403</v>
      </c>
    </row>
    <row r="119" spans="1:7" x14ac:dyDescent="0.25">
      <c r="A119" s="5">
        <v>44147</v>
      </c>
      <c r="B119" s="6" t="s">
        <v>16</v>
      </c>
      <c r="C119" s="6" t="s">
        <v>80</v>
      </c>
      <c r="D119" s="6" t="s">
        <v>92</v>
      </c>
      <c r="E119" s="6" t="s">
        <v>86</v>
      </c>
      <c r="F119" s="7">
        <f t="shared" si="5"/>
        <v>1.527777777777789E-2</v>
      </c>
      <c r="G119" s="8">
        <f t="shared" si="4"/>
        <v>3.2361111111111183</v>
      </c>
    </row>
    <row r="120" spans="1:7" x14ac:dyDescent="0.25">
      <c r="A120" s="5">
        <v>44148</v>
      </c>
      <c r="B120" s="6" t="s">
        <v>51</v>
      </c>
      <c r="C120" s="6" t="s">
        <v>80</v>
      </c>
      <c r="D120" s="6" t="s">
        <v>92</v>
      </c>
      <c r="E120" s="6" t="s">
        <v>162</v>
      </c>
      <c r="F120" s="7">
        <f t="shared" si="5"/>
        <v>-1.0416666666666574E-2</v>
      </c>
      <c r="G120" s="8">
        <f t="shared" si="4"/>
        <v>3.2256944444444517</v>
      </c>
    </row>
    <row r="121" spans="1:7" x14ac:dyDescent="0.25">
      <c r="A121" s="5">
        <v>44149</v>
      </c>
      <c r="B121" s="6" t="s">
        <v>199</v>
      </c>
      <c r="C121" s="6" t="s">
        <v>199</v>
      </c>
      <c r="D121" s="6" t="s">
        <v>199</v>
      </c>
      <c r="E121" s="6" t="s">
        <v>199</v>
      </c>
      <c r="F121" s="7">
        <v>0</v>
      </c>
      <c r="G121" s="8">
        <f t="shared" si="4"/>
        <v>3.2256944444444517</v>
      </c>
    </row>
    <row r="122" spans="1:7" x14ac:dyDescent="0.25">
      <c r="A122" s="5">
        <v>44152</v>
      </c>
      <c r="B122" s="6" t="s">
        <v>44</v>
      </c>
      <c r="C122" s="6" t="s">
        <v>80</v>
      </c>
      <c r="D122" s="6" t="s">
        <v>92</v>
      </c>
      <c r="E122" s="6" t="s">
        <v>163</v>
      </c>
      <c r="F122" s="7">
        <f>E122-B122-(D122-C122)-"8:48"</f>
        <v>4.1666666666666685E-2</v>
      </c>
      <c r="G122" s="8">
        <f t="shared" si="4"/>
        <v>3.2673611111111183</v>
      </c>
    </row>
    <row r="123" spans="1:7" x14ac:dyDescent="0.25">
      <c r="A123" s="5">
        <v>44153</v>
      </c>
      <c r="B123" s="6" t="s">
        <v>53</v>
      </c>
      <c r="C123" s="6" t="s">
        <v>80</v>
      </c>
      <c r="D123" s="6" t="s">
        <v>92</v>
      </c>
      <c r="E123" s="6" t="s">
        <v>164</v>
      </c>
      <c r="F123" s="7">
        <f>E123-B123-(D123-C123)-"8:48"</f>
        <v>5.2777777777777812E-2</v>
      </c>
      <c r="G123" s="8">
        <f t="shared" si="4"/>
        <v>3.3201388888888959</v>
      </c>
    </row>
    <row r="124" spans="1:7" x14ac:dyDescent="0.25">
      <c r="A124" s="5">
        <v>44154</v>
      </c>
      <c r="B124" s="6" t="s">
        <v>199</v>
      </c>
      <c r="C124" s="6" t="s">
        <v>199</v>
      </c>
      <c r="D124" s="6" t="s">
        <v>199</v>
      </c>
      <c r="E124" s="6" t="s">
        <v>199</v>
      </c>
      <c r="F124" s="7">
        <v>0</v>
      </c>
      <c r="G124" s="8">
        <f t="shared" si="4"/>
        <v>3.3201388888888959</v>
      </c>
    </row>
    <row r="125" spans="1:7" x14ac:dyDescent="0.25">
      <c r="A125" s="5">
        <v>44155</v>
      </c>
      <c r="B125" s="6" t="s">
        <v>21</v>
      </c>
      <c r="C125" s="6" t="s">
        <v>80</v>
      </c>
      <c r="D125" s="6" t="s">
        <v>92</v>
      </c>
      <c r="E125" s="6" t="s">
        <v>99</v>
      </c>
      <c r="F125" s="7">
        <f t="shared" ref="F125:F141" si="6">E125-B125-(D125-C125)-"8:48"</f>
        <v>3.4027777777777823E-2</v>
      </c>
      <c r="G125" s="8">
        <f t="shared" si="4"/>
        <v>3.3541666666666736</v>
      </c>
    </row>
    <row r="126" spans="1:7" x14ac:dyDescent="0.25">
      <c r="A126" s="5">
        <v>44156</v>
      </c>
      <c r="B126" s="6" t="s">
        <v>46</v>
      </c>
      <c r="C126" s="6" t="s">
        <v>80</v>
      </c>
      <c r="D126" s="6" t="s">
        <v>92</v>
      </c>
      <c r="E126" s="6" t="s">
        <v>165</v>
      </c>
      <c r="F126" s="7">
        <f t="shared" si="6"/>
        <v>1.736111111111116E-2</v>
      </c>
      <c r="G126" s="8">
        <f t="shared" si="4"/>
        <v>3.3715277777777848</v>
      </c>
    </row>
    <row r="127" spans="1:7" x14ac:dyDescent="0.25">
      <c r="A127" s="5">
        <v>44159</v>
      </c>
      <c r="B127" s="6" t="s">
        <v>24</v>
      </c>
      <c r="C127" s="6" t="s">
        <v>80</v>
      </c>
      <c r="D127" s="6" t="s">
        <v>92</v>
      </c>
      <c r="E127" s="6" t="s">
        <v>152</v>
      </c>
      <c r="F127" s="7">
        <f t="shared" si="6"/>
        <v>1.3888888888888951E-2</v>
      </c>
      <c r="G127" s="8">
        <f t="shared" si="4"/>
        <v>3.3854166666666736</v>
      </c>
    </row>
    <row r="128" spans="1:7" x14ac:dyDescent="0.25">
      <c r="A128" s="5">
        <v>44160</v>
      </c>
      <c r="B128" s="6" t="s">
        <v>26</v>
      </c>
      <c r="C128" s="6" t="s">
        <v>80</v>
      </c>
      <c r="D128" s="6" t="s">
        <v>92</v>
      </c>
      <c r="E128" s="6" t="s">
        <v>166</v>
      </c>
      <c r="F128" s="7">
        <f t="shared" si="6"/>
        <v>5.5555555555555913E-3</v>
      </c>
      <c r="G128" s="8">
        <f t="shared" si="4"/>
        <v>3.3909722222222292</v>
      </c>
    </row>
    <row r="129" spans="1:7" x14ac:dyDescent="0.25">
      <c r="A129" s="5">
        <v>44161</v>
      </c>
      <c r="B129" s="6" t="s">
        <v>54</v>
      </c>
      <c r="C129" s="6">
        <v>0</v>
      </c>
      <c r="D129" s="6">
        <v>0</v>
      </c>
      <c r="E129" s="6" t="s">
        <v>167</v>
      </c>
      <c r="F129" s="7">
        <f t="shared" si="6"/>
        <v>-0.22847222222222213</v>
      </c>
      <c r="G129" s="8">
        <f t="shared" si="4"/>
        <v>3.1625000000000072</v>
      </c>
    </row>
    <row r="130" spans="1:7" x14ac:dyDescent="0.25">
      <c r="A130" s="5">
        <v>44162</v>
      </c>
      <c r="B130" s="6" t="s">
        <v>55</v>
      </c>
      <c r="C130" s="6" t="s">
        <v>80</v>
      </c>
      <c r="D130" s="6" t="s">
        <v>92</v>
      </c>
      <c r="E130" s="6" t="s">
        <v>81</v>
      </c>
      <c r="F130" s="7">
        <f t="shared" si="6"/>
        <v>5.5555555555555913E-3</v>
      </c>
      <c r="G130" s="8">
        <f t="shared" si="4"/>
        <v>3.1680555555555627</v>
      </c>
    </row>
    <row r="131" spans="1:7" x14ac:dyDescent="0.25">
      <c r="A131" s="5">
        <v>44163</v>
      </c>
      <c r="B131" s="6" t="s">
        <v>31</v>
      </c>
      <c r="C131" s="6" t="s">
        <v>80</v>
      </c>
      <c r="D131" s="6" t="s">
        <v>92</v>
      </c>
      <c r="E131" s="6" t="s">
        <v>150</v>
      </c>
      <c r="F131" s="7">
        <f t="shared" si="6"/>
        <v>1.5972222222222221E-2</v>
      </c>
      <c r="G131" s="8">
        <f t="shared" si="4"/>
        <v>3.1840277777777848</v>
      </c>
    </row>
    <row r="132" spans="1:7" x14ac:dyDescent="0.25">
      <c r="A132" s="5">
        <v>44166</v>
      </c>
      <c r="B132" s="6" t="s">
        <v>16</v>
      </c>
      <c r="C132" s="6" t="s">
        <v>80</v>
      </c>
      <c r="D132" s="6" t="s">
        <v>92</v>
      </c>
      <c r="E132" s="6" t="s">
        <v>98</v>
      </c>
      <c r="F132" s="7">
        <f t="shared" si="6"/>
        <v>6.2500000000000333E-3</v>
      </c>
      <c r="G132" s="8">
        <f t="shared" si="4"/>
        <v>3.1902777777777849</v>
      </c>
    </row>
    <row r="133" spans="1:7" x14ac:dyDescent="0.25">
      <c r="A133" s="5">
        <v>44167</v>
      </c>
      <c r="B133" s="6" t="s">
        <v>5</v>
      </c>
      <c r="C133" s="6" t="s">
        <v>80</v>
      </c>
      <c r="D133" s="6" t="s">
        <v>92</v>
      </c>
      <c r="E133" s="6" t="s">
        <v>83</v>
      </c>
      <c r="F133" s="7">
        <f t="shared" si="6"/>
        <v>2.916666666666673E-2</v>
      </c>
      <c r="G133" s="8">
        <f t="shared" ref="G133:G196" si="7">F133+G132</f>
        <v>3.2194444444444517</v>
      </c>
    </row>
    <row r="134" spans="1:7" x14ac:dyDescent="0.25">
      <c r="A134" s="5">
        <v>44168</v>
      </c>
      <c r="B134" s="6" t="s">
        <v>56</v>
      </c>
      <c r="C134" s="6" t="s">
        <v>80</v>
      </c>
      <c r="D134" s="6" t="s">
        <v>92</v>
      </c>
      <c r="E134" s="6" t="s">
        <v>141</v>
      </c>
      <c r="F134" s="7">
        <f t="shared" si="6"/>
        <v>-7.6388888888888062E-3</v>
      </c>
      <c r="G134" s="8">
        <f t="shared" si="7"/>
        <v>3.2118055555555629</v>
      </c>
    </row>
    <row r="135" spans="1:7" x14ac:dyDescent="0.25">
      <c r="A135" s="5">
        <v>44169</v>
      </c>
      <c r="B135" s="6" t="s">
        <v>44</v>
      </c>
      <c r="C135" s="6" t="s">
        <v>80</v>
      </c>
      <c r="D135" s="6" t="s">
        <v>92</v>
      </c>
      <c r="E135" s="6" t="s">
        <v>84</v>
      </c>
      <c r="F135" s="7">
        <f t="shared" si="6"/>
        <v>7.6388888888889173E-3</v>
      </c>
      <c r="G135" s="8">
        <f t="shared" si="7"/>
        <v>3.2194444444444517</v>
      </c>
    </row>
    <row r="136" spans="1:7" x14ac:dyDescent="0.25">
      <c r="A136" s="5">
        <v>44170</v>
      </c>
      <c r="B136" s="6" t="s">
        <v>30</v>
      </c>
      <c r="C136" s="6" t="s">
        <v>80</v>
      </c>
      <c r="D136" s="6" t="s">
        <v>92</v>
      </c>
      <c r="E136" s="6" t="s">
        <v>118</v>
      </c>
      <c r="F136" s="7">
        <f t="shared" si="6"/>
        <v>-1.3888888888888284E-3</v>
      </c>
      <c r="G136" s="8">
        <f t="shared" si="7"/>
        <v>3.218055555555563</v>
      </c>
    </row>
    <row r="137" spans="1:7" x14ac:dyDescent="0.25">
      <c r="A137" s="5">
        <v>44173</v>
      </c>
      <c r="B137" s="6" t="s">
        <v>57</v>
      </c>
      <c r="C137" s="6" t="s">
        <v>80</v>
      </c>
      <c r="D137" s="6" t="s">
        <v>92</v>
      </c>
      <c r="E137" s="6" t="s">
        <v>168</v>
      </c>
      <c r="F137" s="7">
        <f t="shared" si="6"/>
        <v>0.11875000000000008</v>
      </c>
      <c r="G137" s="8">
        <f t="shared" si="7"/>
        <v>3.3368055555555629</v>
      </c>
    </row>
    <row r="138" spans="1:7" x14ac:dyDescent="0.25">
      <c r="A138" s="5">
        <v>44174</v>
      </c>
      <c r="B138" s="6" t="s">
        <v>20</v>
      </c>
      <c r="C138" s="6" t="s">
        <v>80</v>
      </c>
      <c r="D138" s="6" t="s">
        <v>92</v>
      </c>
      <c r="E138" s="6" t="s">
        <v>169</v>
      </c>
      <c r="F138" s="7">
        <f t="shared" si="6"/>
        <v>1.4583333333333337E-2</v>
      </c>
      <c r="G138" s="8">
        <f t="shared" si="7"/>
        <v>3.3513888888888963</v>
      </c>
    </row>
    <row r="139" spans="1:7" x14ac:dyDescent="0.25">
      <c r="A139" s="5">
        <v>44175</v>
      </c>
      <c r="B139" s="6" t="s">
        <v>58</v>
      </c>
      <c r="C139" s="6" t="s">
        <v>80</v>
      </c>
      <c r="D139" s="6" t="s">
        <v>92</v>
      </c>
      <c r="E139" s="6" t="s">
        <v>117</v>
      </c>
      <c r="F139" s="7">
        <f t="shared" si="6"/>
        <v>1.8750000000000044E-2</v>
      </c>
      <c r="G139" s="8">
        <f t="shared" si="7"/>
        <v>3.3701388888888966</v>
      </c>
    </row>
    <row r="140" spans="1:7" x14ac:dyDescent="0.25">
      <c r="A140" s="5">
        <v>44176</v>
      </c>
      <c r="B140" s="6" t="s">
        <v>59</v>
      </c>
      <c r="C140" s="6" t="s">
        <v>80</v>
      </c>
      <c r="D140" s="6" t="s">
        <v>92</v>
      </c>
      <c r="E140" s="6" t="s">
        <v>170</v>
      </c>
      <c r="F140" s="7">
        <f t="shared" si="6"/>
        <v>0.11319444444444454</v>
      </c>
      <c r="G140" s="8">
        <f t="shared" si="7"/>
        <v>3.4833333333333409</v>
      </c>
    </row>
    <row r="141" spans="1:7" x14ac:dyDescent="0.25">
      <c r="A141" s="5">
        <v>44177</v>
      </c>
      <c r="B141" s="6" t="s">
        <v>7</v>
      </c>
      <c r="C141" s="6" t="s">
        <v>80</v>
      </c>
      <c r="D141" s="6" t="s">
        <v>92</v>
      </c>
      <c r="E141" s="6" t="s">
        <v>171</v>
      </c>
      <c r="F141" s="7">
        <f t="shared" si="6"/>
        <v>-6.2499999999999223E-3</v>
      </c>
      <c r="G141" s="8">
        <f t="shared" si="7"/>
        <v>3.4770833333333409</v>
      </c>
    </row>
    <row r="142" spans="1:7" x14ac:dyDescent="0.25">
      <c r="A142" s="5">
        <v>44180</v>
      </c>
      <c r="B142" s="6" t="s">
        <v>200</v>
      </c>
      <c r="C142" s="6" t="s">
        <v>200</v>
      </c>
      <c r="D142" s="6" t="s">
        <v>200</v>
      </c>
      <c r="E142" s="6" t="s">
        <v>200</v>
      </c>
      <c r="F142" s="7">
        <v>0</v>
      </c>
      <c r="G142" s="8">
        <f t="shared" si="7"/>
        <v>3.4770833333333409</v>
      </c>
    </row>
    <row r="143" spans="1:7" x14ac:dyDescent="0.25">
      <c r="A143" s="5">
        <v>44181</v>
      </c>
      <c r="B143" s="6" t="s">
        <v>200</v>
      </c>
      <c r="C143" s="6" t="s">
        <v>200</v>
      </c>
      <c r="D143" s="6" t="s">
        <v>200</v>
      </c>
      <c r="E143" s="6" t="s">
        <v>200</v>
      </c>
      <c r="F143" s="7">
        <v>0</v>
      </c>
      <c r="G143" s="8">
        <f t="shared" si="7"/>
        <v>3.4770833333333409</v>
      </c>
    </row>
    <row r="144" spans="1:7" x14ac:dyDescent="0.25">
      <c r="A144" s="5">
        <v>44182</v>
      </c>
      <c r="B144" s="6" t="s">
        <v>200</v>
      </c>
      <c r="C144" s="6" t="s">
        <v>200</v>
      </c>
      <c r="D144" s="6" t="s">
        <v>200</v>
      </c>
      <c r="E144" s="6" t="s">
        <v>200</v>
      </c>
      <c r="F144" s="7">
        <v>0</v>
      </c>
      <c r="G144" s="8">
        <f t="shared" si="7"/>
        <v>3.4770833333333409</v>
      </c>
    </row>
    <row r="145" spans="1:7" x14ac:dyDescent="0.25">
      <c r="A145" s="5">
        <v>44183</v>
      </c>
      <c r="B145" s="6" t="s">
        <v>200</v>
      </c>
      <c r="C145" s="6" t="s">
        <v>200</v>
      </c>
      <c r="D145" s="6" t="s">
        <v>200</v>
      </c>
      <c r="E145" s="6" t="s">
        <v>200</v>
      </c>
      <c r="F145" s="7">
        <v>0</v>
      </c>
      <c r="G145" s="8">
        <f t="shared" si="7"/>
        <v>3.4770833333333409</v>
      </c>
    </row>
    <row r="146" spans="1:7" x14ac:dyDescent="0.25">
      <c r="A146" s="5">
        <v>44184</v>
      </c>
      <c r="B146" s="6" t="s">
        <v>200</v>
      </c>
      <c r="C146" s="6" t="s">
        <v>200</v>
      </c>
      <c r="D146" s="6" t="s">
        <v>200</v>
      </c>
      <c r="E146" s="6" t="s">
        <v>200</v>
      </c>
      <c r="F146" s="7">
        <v>0</v>
      </c>
      <c r="G146" s="8">
        <f t="shared" si="7"/>
        <v>3.4770833333333409</v>
      </c>
    </row>
    <row r="147" spans="1:7" x14ac:dyDescent="0.25">
      <c r="A147" s="5">
        <v>44187</v>
      </c>
      <c r="B147" s="6" t="s">
        <v>200</v>
      </c>
      <c r="C147" s="6" t="s">
        <v>200</v>
      </c>
      <c r="D147" s="6" t="s">
        <v>200</v>
      </c>
      <c r="E147" s="6" t="s">
        <v>200</v>
      </c>
      <c r="F147" s="7">
        <v>0</v>
      </c>
      <c r="G147" s="8">
        <f t="shared" si="7"/>
        <v>3.4770833333333409</v>
      </c>
    </row>
    <row r="148" spans="1:7" x14ac:dyDescent="0.25">
      <c r="A148" s="5">
        <v>44188</v>
      </c>
      <c r="B148" s="6">
        <v>0</v>
      </c>
      <c r="C148" s="6">
        <v>0</v>
      </c>
      <c r="D148" s="6">
        <v>0</v>
      </c>
      <c r="E148" s="6">
        <v>0</v>
      </c>
      <c r="F148" s="7">
        <f>E148-B148-(D148-C148)-"8:48"</f>
        <v>-0.36666666666666664</v>
      </c>
      <c r="G148" s="8">
        <f t="shared" si="7"/>
        <v>3.1104166666666742</v>
      </c>
    </row>
    <row r="149" spans="1:7" x14ac:dyDescent="0.25">
      <c r="A149" s="5">
        <v>44189</v>
      </c>
      <c r="B149" s="6" t="s">
        <v>200</v>
      </c>
      <c r="C149" s="6" t="s">
        <v>200</v>
      </c>
      <c r="D149" s="6" t="s">
        <v>200</v>
      </c>
      <c r="E149" s="6" t="s">
        <v>200</v>
      </c>
      <c r="F149" s="7">
        <v>0</v>
      </c>
      <c r="G149" s="8">
        <f t="shared" si="7"/>
        <v>3.1104166666666742</v>
      </c>
    </row>
    <row r="150" spans="1:7" x14ac:dyDescent="0.25">
      <c r="A150" s="5">
        <v>44190</v>
      </c>
      <c r="B150" s="6" t="s">
        <v>200</v>
      </c>
      <c r="C150" s="6" t="s">
        <v>200</v>
      </c>
      <c r="D150" s="6" t="s">
        <v>200</v>
      </c>
      <c r="E150" s="6" t="s">
        <v>200</v>
      </c>
      <c r="F150" s="7">
        <v>0</v>
      </c>
      <c r="G150" s="8">
        <f t="shared" si="7"/>
        <v>3.1104166666666742</v>
      </c>
    </row>
    <row r="151" spans="1:7" x14ac:dyDescent="0.25">
      <c r="A151" s="5">
        <v>44191</v>
      </c>
      <c r="B151" s="6" t="s">
        <v>200</v>
      </c>
      <c r="C151" s="6" t="s">
        <v>200</v>
      </c>
      <c r="D151" s="6" t="s">
        <v>200</v>
      </c>
      <c r="E151" s="6" t="s">
        <v>200</v>
      </c>
      <c r="F151" s="7">
        <v>0</v>
      </c>
      <c r="G151" s="8">
        <f t="shared" si="7"/>
        <v>3.1104166666666742</v>
      </c>
    </row>
    <row r="152" spans="1:7" x14ac:dyDescent="0.25">
      <c r="A152" s="5">
        <v>44194</v>
      </c>
      <c r="B152" s="6" t="s">
        <v>200</v>
      </c>
      <c r="C152" s="6" t="s">
        <v>200</v>
      </c>
      <c r="D152" s="6" t="s">
        <v>200</v>
      </c>
      <c r="E152" s="6" t="s">
        <v>200</v>
      </c>
      <c r="F152" s="7">
        <v>0</v>
      </c>
      <c r="G152" s="8">
        <f t="shared" si="7"/>
        <v>3.1104166666666742</v>
      </c>
    </row>
    <row r="153" spans="1:7" x14ac:dyDescent="0.25">
      <c r="A153" s="5">
        <v>44195</v>
      </c>
      <c r="B153" s="6" t="s">
        <v>200</v>
      </c>
      <c r="C153" s="6" t="s">
        <v>200</v>
      </c>
      <c r="D153" s="6" t="s">
        <v>200</v>
      </c>
      <c r="E153" s="6" t="s">
        <v>200</v>
      </c>
      <c r="F153" s="7">
        <v>0</v>
      </c>
      <c r="G153" s="8">
        <f t="shared" si="7"/>
        <v>3.1104166666666742</v>
      </c>
    </row>
    <row r="154" spans="1:7" x14ac:dyDescent="0.25">
      <c r="A154" s="5">
        <v>44196</v>
      </c>
      <c r="B154" s="6" t="s">
        <v>200</v>
      </c>
      <c r="C154" s="6" t="s">
        <v>200</v>
      </c>
      <c r="D154" s="6" t="s">
        <v>200</v>
      </c>
      <c r="E154" s="6" t="s">
        <v>200</v>
      </c>
      <c r="F154" s="7">
        <v>0</v>
      </c>
      <c r="G154" s="8">
        <f t="shared" si="7"/>
        <v>3.1104166666666742</v>
      </c>
    </row>
    <row r="155" spans="1:7" x14ac:dyDescent="0.25">
      <c r="A155" s="5">
        <v>44197</v>
      </c>
      <c r="B155" s="6" t="s">
        <v>200</v>
      </c>
      <c r="C155" s="6" t="s">
        <v>200</v>
      </c>
      <c r="D155" s="6" t="s">
        <v>200</v>
      </c>
      <c r="E155" s="6" t="s">
        <v>200</v>
      </c>
      <c r="F155" s="7">
        <v>0</v>
      </c>
      <c r="G155" s="8">
        <f t="shared" si="7"/>
        <v>3.1104166666666742</v>
      </c>
    </row>
    <row r="156" spans="1:7" x14ac:dyDescent="0.25">
      <c r="A156" s="5">
        <v>44198</v>
      </c>
      <c r="B156" s="6" t="s">
        <v>200</v>
      </c>
      <c r="C156" s="6" t="s">
        <v>200</v>
      </c>
      <c r="D156" s="6" t="s">
        <v>200</v>
      </c>
      <c r="E156" s="6" t="s">
        <v>200</v>
      </c>
      <c r="F156" s="7">
        <v>0</v>
      </c>
      <c r="G156" s="8">
        <f t="shared" si="7"/>
        <v>3.1104166666666742</v>
      </c>
    </row>
    <row r="157" spans="1:7" x14ac:dyDescent="0.25">
      <c r="A157" s="5">
        <v>44201</v>
      </c>
      <c r="B157" s="6" t="s">
        <v>46</v>
      </c>
      <c r="C157" s="6" t="s">
        <v>80</v>
      </c>
      <c r="D157" s="6" t="s">
        <v>92</v>
      </c>
      <c r="E157" s="6" t="s">
        <v>117</v>
      </c>
      <c r="F157" s="7">
        <f t="shared" ref="F157:F188" si="8">E157-B157-(D157-C157)-"8:48"</f>
        <v>-1.3194444444444398E-2</v>
      </c>
      <c r="G157" s="8">
        <f t="shared" si="7"/>
        <v>3.0972222222222299</v>
      </c>
    </row>
    <row r="158" spans="1:7" x14ac:dyDescent="0.25">
      <c r="A158" s="5">
        <v>44202</v>
      </c>
      <c r="B158" s="6" t="s">
        <v>51</v>
      </c>
      <c r="C158" s="6" t="s">
        <v>80</v>
      </c>
      <c r="D158" s="6" t="s">
        <v>92</v>
      </c>
      <c r="E158" s="6" t="s">
        <v>126</v>
      </c>
      <c r="F158" s="7">
        <f t="shared" si="8"/>
        <v>5.00000000000001E-2</v>
      </c>
      <c r="G158" s="8">
        <f t="shared" si="7"/>
        <v>3.1472222222222301</v>
      </c>
    </row>
    <row r="159" spans="1:7" x14ac:dyDescent="0.25">
      <c r="A159" s="5">
        <v>44203</v>
      </c>
      <c r="B159" s="6" t="s">
        <v>32</v>
      </c>
      <c r="C159" s="6" t="s">
        <v>80</v>
      </c>
      <c r="D159" s="6" t="s">
        <v>92</v>
      </c>
      <c r="E159" s="6" t="s">
        <v>172</v>
      </c>
      <c r="F159" s="7">
        <f t="shared" si="8"/>
        <v>2.916666666666673E-2</v>
      </c>
      <c r="G159" s="8">
        <f t="shared" si="7"/>
        <v>3.1763888888888969</v>
      </c>
    </row>
    <row r="160" spans="1:7" x14ac:dyDescent="0.25">
      <c r="A160" s="5">
        <v>44204</v>
      </c>
      <c r="B160" s="6" t="s">
        <v>60</v>
      </c>
      <c r="C160" s="6" t="s">
        <v>80</v>
      </c>
      <c r="D160" s="6" t="s">
        <v>92</v>
      </c>
      <c r="E160" s="6" t="s">
        <v>171</v>
      </c>
      <c r="F160" s="7">
        <f t="shared" si="8"/>
        <v>5.5555555555556468E-3</v>
      </c>
      <c r="G160" s="8">
        <f t="shared" si="7"/>
        <v>3.1819444444444525</v>
      </c>
    </row>
    <row r="161" spans="1:7" x14ac:dyDescent="0.25">
      <c r="A161" s="5">
        <v>44205</v>
      </c>
      <c r="B161" s="6" t="s">
        <v>21</v>
      </c>
      <c r="C161" s="6" t="s">
        <v>80</v>
      </c>
      <c r="D161" s="6" t="s">
        <v>92</v>
      </c>
      <c r="E161" s="6" t="s">
        <v>114</v>
      </c>
      <c r="F161" s="7">
        <f t="shared" si="8"/>
        <v>4.1666666666667074E-3</v>
      </c>
      <c r="G161" s="8">
        <f t="shared" si="7"/>
        <v>3.1861111111111193</v>
      </c>
    </row>
    <row r="162" spans="1:7" x14ac:dyDescent="0.25">
      <c r="A162" s="5">
        <v>44208</v>
      </c>
      <c r="B162" s="6" t="s">
        <v>61</v>
      </c>
      <c r="C162" s="6" t="s">
        <v>80</v>
      </c>
      <c r="D162" s="6" t="s">
        <v>92</v>
      </c>
      <c r="E162" s="6" t="s">
        <v>139</v>
      </c>
      <c r="F162" s="7">
        <f t="shared" si="8"/>
        <v>-4.1666666666666519E-3</v>
      </c>
      <c r="G162" s="8">
        <f t="shared" si="7"/>
        <v>3.1819444444444525</v>
      </c>
    </row>
    <row r="163" spans="1:7" x14ac:dyDescent="0.25">
      <c r="A163" s="5">
        <v>44209</v>
      </c>
      <c r="B163" s="6" t="s">
        <v>46</v>
      </c>
      <c r="C163" s="6" t="s">
        <v>80</v>
      </c>
      <c r="D163" s="6" t="s">
        <v>92</v>
      </c>
      <c r="E163" s="6" t="s">
        <v>127</v>
      </c>
      <c r="F163" s="7">
        <f t="shared" si="8"/>
        <v>-1.388888888888884E-2</v>
      </c>
      <c r="G163" s="8">
        <f t="shared" si="7"/>
        <v>3.1680555555555636</v>
      </c>
    </row>
    <row r="164" spans="1:7" x14ac:dyDescent="0.25">
      <c r="A164" s="5">
        <v>44210</v>
      </c>
      <c r="B164" s="6" t="s">
        <v>16</v>
      </c>
      <c r="C164" s="6" t="s">
        <v>80</v>
      </c>
      <c r="D164" s="6" t="s">
        <v>92</v>
      </c>
      <c r="E164" s="6" t="s">
        <v>96</v>
      </c>
      <c r="F164" s="7">
        <f t="shared" si="8"/>
        <v>2.0833333333333426E-2</v>
      </c>
      <c r="G164" s="8">
        <f t="shared" si="7"/>
        <v>3.1888888888888971</v>
      </c>
    </row>
    <row r="165" spans="1:7" x14ac:dyDescent="0.25">
      <c r="A165" s="5">
        <v>44211</v>
      </c>
      <c r="B165" s="6" t="s">
        <v>16</v>
      </c>
      <c r="C165" s="6" t="s">
        <v>80</v>
      </c>
      <c r="D165" s="6" t="s">
        <v>92</v>
      </c>
      <c r="E165" s="6" t="s">
        <v>72</v>
      </c>
      <c r="F165" s="7">
        <f t="shared" si="8"/>
        <v>1.5972222222222332E-2</v>
      </c>
      <c r="G165" s="8">
        <f t="shared" si="7"/>
        <v>3.2048611111111196</v>
      </c>
    </row>
    <row r="166" spans="1:7" x14ac:dyDescent="0.25">
      <c r="A166" s="5">
        <v>44212</v>
      </c>
      <c r="B166" s="6" t="s">
        <v>15</v>
      </c>
      <c r="C166" s="6" t="s">
        <v>80</v>
      </c>
      <c r="D166" s="6" t="s">
        <v>92</v>
      </c>
      <c r="E166" s="6" t="s">
        <v>87</v>
      </c>
      <c r="F166" s="7">
        <f t="shared" si="8"/>
        <v>6.9444444444444198E-4</v>
      </c>
      <c r="G166" s="8">
        <f t="shared" si="7"/>
        <v>3.2055555555555642</v>
      </c>
    </row>
    <row r="167" spans="1:7" x14ac:dyDescent="0.25">
      <c r="A167" s="5">
        <v>44215</v>
      </c>
      <c r="B167" s="6" t="s">
        <v>62</v>
      </c>
      <c r="C167" s="6" t="s">
        <v>80</v>
      </c>
      <c r="D167" s="6" t="s">
        <v>92</v>
      </c>
      <c r="E167" s="6" t="s">
        <v>114</v>
      </c>
      <c r="F167" s="7">
        <f t="shared" si="8"/>
        <v>-1.1111111111111072E-2</v>
      </c>
      <c r="G167" s="8">
        <f t="shared" si="7"/>
        <v>3.1944444444444531</v>
      </c>
    </row>
    <row r="168" spans="1:7" x14ac:dyDescent="0.25">
      <c r="A168" s="5">
        <v>44216</v>
      </c>
      <c r="B168" s="6" t="s">
        <v>7</v>
      </c>
      <c r="C168" s="6" t="s">
        <v>80</v>
      </c>
      <c r="D168" s="6" t="s">
        <v>92</v>
      </c>
      <c r="E168" s="6" t="s">
        <v>83</v>
      </c>
      <c r="F168" s="7">
        <f t="shared" si="8"/>
        <v>3.1250000000000056E-2</v>
      </c>
      <c r="G168" s="8">
        <f t="shared" si="7"/>
        <v>3.2256944444444531</v>
      </c>
    </row>
    <row r="169" spans="1:7" x14ac:dyDescent="0.25">
      <c r="A169" s="5">
        <v>44217</v>
      </c>
      <c r="B169" s="6" t="s">
        <v>15</v>
      </c>
      <c r="C169" s="6" t="s">
        <v>80</v>
      </c>
      <c r="D169" s="6" t="s">
        <v>92</v>
      </c>
      <c r="E169" s="6" t="s">
        <v>173</v>
      </c>
      <c r="F169" s="7">
        <f t="shared" si="8"/>
        <v>-0.24166666666666659</v>
      </c>
      <c r="G169" s="8">
        <f t="shared" si="7"/>
        <v>2.9840277777777864</v>
      </c>
    </row>
    <row r="170" spans="1:7" x14ac:dyDescent="0.25">
      <c r="A170" s="5">
        <v>44218</v>
      </c>
      <c r="B170" s="6" t="s">
        <v>15</v>
      </c>
      <c r="C170" s="6" t="s">
        <v>80</v>
      </c>
      <c r="D170" s="6" t="s">
        <v>92</v>
      </c>
      <c r="E170" s="6" t="s">
        <v>159</v>
      </c>
      <c r="F170" s="7">
        <f t="shared" si="8"/>
        <v>3.472222222222221E-2</v>
      </c>
      <c r="G170" s="8">
        <f t="shared" si="7"/>
        <v>3.0187500000000087</v>
      </c>
    </row>
    <row r="171" spans="1:7" x14ac:dyDescent="0.25">
      <c r="A171" s="5">
        <v>44219</v>
      </c>
      <c r="B171" s="6" t="s">
        <v>29</v>
      </c>
      <c r="C171" s="6" t="s">
        <v>80</v>
      </c>
      <c r="D171" s="6" t="s">
        <v>92</v>
      </c>
      <c r="E171" s="6" t="s">
        <v>174</v>
      </c>
      <c r="F171" s="7">
        <f t="shared" si="8"/>
        <v>-4.8611111111111049E-2</v>
      </c>
      <c r="G171" s="8">
        <f t="shared" si="7"/>
        <v>2.9701388888888975</v>
      </c>
    </row>
    <row r="172" spans="1:7" x14ac:dyDescent="0.25">
      <c r="A172" s="5">
        <v>44222</v>
      </c>
      <c r="B172" s="6" t="s">
        <v>20</v>
      </c>
      <c r="C172" s="6" t="s">
        <v>80</v>
      </c>
      <c r="D172" s="6" t="s">
        <v>92</v>
      </c>
      <c r="E172" s="6" t="s">
        <v>175</v>
      </c>
      <c r="F172" s="7">
        <f t="shared" si="8"/>
        <v>-6.2499999999999223E-3</v>
      </c>
      <c r="G172" s="8">
        <f t="shared" si="7"/>
        <v>2.9638888888888975</v>
      </c>
    </row>
    <row r="173" spans="1:7" x14ac:dyDescent="0.25">
      <c r="A173" s="5">
        <v>44223</v>
      </c>
      <c r="B173" s="6" t="s">
        <v>63</v>
      </c>
      <c r="C173" s="6" t="s">
        <v>80</v>
      </c>
      <c r="D173" s="6" t="s">
        <v>92</v>
      </c>
      <c r="E173" s="6" t="s">
        <v>102</v>
      </c>
      <c r="F173" s="7">
        <f t="shared" si="8"/>
        <v>2.9861111111111227E-2</v>
      </c>
      <c r="G173" s="8">
        <f t="shared" si="7"/>
        <v>2.9937500000000088</v>
      </c>
    </row>
    <row r="174" spans="1:7" x14ac:dyDescent="0.25">
      <c r="A174" s="5">
        <v>44224</v>
      </c>
      <c r="B174" s="6" t="s">
        <v>15</v>
      </c>
      <c r="C174" s="6" t="s">
        <v>80</v>
      </c>
      <c r="D174" s="6" t="s">
        <v>92</v>
      </c>
      <c r="E174" s="6" t="s">
        <v>97</v>
      </c>
      <c r="F174" s="7">
        <f t="shared" si="8"/>
        <v>1.3888888888888951E-2</v>
      </c>
      <c r="G174" s="8">
        <f t="shared" si="7"/>
        <v>3.0076388888888976</v>
      </c>
    </row>
    <row r="175" spans="1:7" x14ac:dyDescent="0.25">
      <c r="A175" s="5">
        <v>44225</v>
      </c>
      <c r="B175" s="6" t="s">
        <v>15</v>
      </c>
      <c r="C175" s="6" t="s">
        <v>80</v>
      </c>
      <c r="D175" s="6" t="s">
        <v>92</v>
      </c>
      <c r="E175" s="6" t="s">
        <v>124</v>
      </c>
      <c r="F175" s="7">
        <f t="shared" si="8"/>
        <v>1.0416666666666741E-2</v>
      </c>
      <c r="G175" s="8">
        <f t="shared" si="7"/>
        <v>3.0180555555555646</v>
      </c>
    </row>
    <row r="176" spans="1:7" x14ac:dyDescent="0.25">
      <c r="A176" s="5">
        <v>44226</v>
      </c>
      <c r="B176" s="6" t="s">
        <v>46</v>
      </c>
      <c r="C176" s="6" t="s">
        <v>80</v>
      </c>
      <c r="D176" s="6" t="s">
        <v>92</v>
      </c>
      <c r="E176" s="6" t="s">
        <v>98</v>
      </c>
      <c r="F176" s="7">
        <f t="shared" si="8"/>
        <v>-6.9444444444444198E-4</v>
      </c>
      <c r="G176" s="8">
        <f t="shared" si="7"/>
        <v>3.01736111111112</v>
      </c>
    </row>
    <row r="177" spans="1:7" x14ac:dyDescent="0.25">
      <c r="A177" s="5">
        <v>44229</v>
      </c>
      <c r="B177" s="6" t="s">
        <v>15</v>
      </c>
      <c r="C177" s="6" t="s">
        <v>80</v>
      </c>
      <c r="D177" s="6" t="s">
        <v>92</v>
      </c>
      <c r="E177" s="9">
        <v>0.71527777777777779</v>
      </c>
      <c r="F177" s="7">
        <f t="shared" si="8"/>
        <v>-4.5833333333333282E-2</v>
      </c>
      <c r="G177" s="8">
        <f t="shared" si="7"/>
        <v>2.9715277777777866</v>
      </c>
    </row>
    <row r="178" spans="1:7" x14ac:dyDescent="0.25">
      <c r="A178" s="5">
        <v>44230</v>
      </c>
      <c r="B178" s="6" t="s">
        <v>7</v>
      </c>
      <c r="C178" s="6" t="s">
        <v>80</v>
      </c>
      <c r="D178" s="6" t="s">
        <v>92</v>
      </c>
      <c r="E178" s="6" t="s">
        <v>72</v>
      </c>
      <c r="F178" s="7">
        <f t="shared" si="8"/>
        <v>1.87500000000001E-2</v>
      </c>
      <c r="G178" s="8">
        <f t="shared" si="7"/>
        <v>2.9902777777777869</v>
      </c>
    </row>
    <row r="179" spans="1:7" x14ac:dyDescent="0.25">
      <c r="A179" s="5">
        <v>44231</v>
      </c>
      <c r="B179" s="6" t="s">
        <v>15</v>
      </c>
      <c r="C179" s="6" t="s">
        <v>80</v>
      </c>
      <c r="D179" s="6" t="s">
        <v>92</v>
      </c>
      <c r="E179" s="6" t="s">
        <v>81</v>
      </c>
      <c r="F179" s="7">
        <f t="shared" si="8"/>
        <v>0</v>
      </c>
      <c r="G179" s="8">
        <f t="shared" si="7"/>
        <v>2.9902777777777869</v>
      </c>
    </row>
    <row r="180" spans="1:7" x14ac:dyDescent="0.25">
      <c r="A180" s="5">
        <v>44232</v>
      </c>
      <c r="B180" s="6" t="s">
        <v>30</v>
      </c>
      <c r="C180" s="6" t="s">
        <v>80</v>
      </c>
      <c r="D180" s="6" t="s">
        <v>92</v>
      </c>
      <c r="E180" s="6" t="s">
        <v>118</v>
      </c>
      <c r="F180" s="7">
        <f t="shared" si="8"/>
        <v>-1.3888888888888284E-3</v>
      </c>
      <c r="G180" s="8">
        <f t="shared" si="7"/>
        <v>2.9888888888888983</v>
      </c>
    </row>
    <row r="181" spans="1:7" x14ac:dyDescent="0.25">
      <c r="A181" s="5">
        <v>44233</v>
      </c>
      <c r="B181" s="6" t="s">
        <v>25</v>
      </c>
      <c r="C181" s="6" t="s">
        <v>80</v>
      </c>
      <c r="D181" s="6" t="s">
        <v>92</v>
      </c>
      <c r="E181" s="6" t="s">
        <v>147</v>
      </c>
      <c r="F181" s="7">
        <f t="shared" si="8"/>
        <v>8.3333333333334703E-3</v>
      </c>
      <c r="G181" s="8">
        <f t="shared" si="7"/>
        <v>2.9972222222222316</v>
      </c>
    </row>
    <row r="182" spans="1:7" x14ac:dyDescent="0.25">
      <c r="A182" s="5">
        <v>44236</v>
      </c>
      <c r="B182" s="6" t="s">
        <v>18</v>
      </c>
      <c r="C182" s="6" t="s">
        <v>80</v>
      </c>
      <c r="D182" s="6" t="s">
        <v>92</v>
      </c>
      <c r="E182" s="6" t="s">
        <v>160</v>
      </c>
      <c r="F182" s="7">
        <f t="shared" si="8"/>
        <v>2.569444444444452E-2</v>
      </c>
      <c r="G182" s="8">
        <f t="shared" si="7"/>
        <v>3.022916666666676</v>
      </c>
    </row>
    <row r="183" spans="1:7" x14ac:dyDescent="0.25">
      <c r="A183" s="5">
        <v>44237</v>
      </c>
      <c r="B183" s="6" t="s">
        <v>39</v>
      </c>
      <c r="C183" s="6" t="s">
        <v>80</v>
      </c>
      <c r="D183" s="6" t="s">
        <v>92</v>
      </c>
      <c r="E183" s="6" t="s">
        <v>176</v>
      </c>
      <c r="F183" s="7">
        <f t="shared" si="8"/>
        <v>2.3611111111111249E-2</v>
      </c>
      <c r="G183" s="8">
        <f t="shared" si="7"/>
        <v>3.0465277777777873</v>
      </c>
    </row>
    <row r="184" spans="1:7" x14ac:dyDescent="0.25">
      <c r="A184" s="5">
        <v>44238</v>
      </c>
      <c r="B184" s="6" t="s">
        <v>64</v>
      </c>
      <c r="C184" s="6" t="s">
        <v>80</v>
      </c>
      <c r="D184" s="6" t="s">
        <v>92</v>
      </c>
      <c r="E184" s="6" t="s">
        <v>99</v>
      </c>
      <c r="F184" s="7">
        <f t="shared" si="8"/>
        <v>4.3055555555555625E-2</v>
      </c>
      <c r="G184" s="8">
        <f t="shared" si="7"/>
        <v>3.0895833333333429</v>
      </c>
    </row>
    <row r="185" spans="1:7" x14ac:dyDescent="0.25">
      <c r="A185" s="5">
        <v>44239</v>
      </c>
      <c r="B185" s="6" t="s">
        <v>51</v>
      </c>
      <c r="C185" s="6" t="s">
        <v>80</v>
      </c>
      <c r="D185" s="6" t="s">
        <v>92</v>
      </c>
      <c r="E185" s="6" t="s">
        <v>177</v>
      </c>
      <c r="F185" s="7">
        <f t="shared" si="8"/>
        <v>1.0416666666666685E-2</v>
      </c>
      <c r="G185" s="8">
        <f t="shared" si="7"/>
        <v>3.1000000000000094</v>
      </c>
    </row>
    <row r="186" spans="1:7" x14ac:dyDescent="0.25">
      <c r="A186" s="5">
        <v>44240</v>
      </c>
      <c r="B186" s="6" t="s">
        <v>65</v>
      </c>
      <c r="C186" s="6" t="s">
        <v>80</v>
      </c>
      <c r="D186" s="6" t="s">
        <v>92</v>
      </c>
      <c r="E186" s="6" t="s">
        <v>154</v>
      </c>
      <c r="F186" s="7">
        <f t="shared" si="8"/>
        <v>4.1666666666666741E-2</v>
      </c>
      <c r="G186" s="8">
        <f t="shared" si="7"/>
        <v>3.1416666666666764</v>
      </c>
    </row>
    <row r="187" spans="1:7" x14ac:dyDescent="0.25">
      <c r="A187" s="5">
        <v>44243</v>
      </c>
      <c r="B187" s="6" t="s">
        <v>66</v>
      </c>
      <c r="C187" s="6" t="s">
        <v>80</v>
      </c>
      <c r="D187" s="6" t="s">
        <v>92</v>
      </c>
      <c r="E187" s="6" t="s">
        <v>89</v>
      </c>
      <c r="F187" s="7">
        <f t="shared" si="8"/>
        <v>0.16458333333333347</v>
      </c>
      <c r="G187" s="8">
        <f t="shared" si="7"/>
        <v>3.3062500000000097</v>
      </c>
    </row>
    <row r="188" spans="1:7" x14ac:dyDescent="0.25">
      <c r="A188" s="5">
        <v>44244</v>
      </c>
      <c r="B188" s="6" t="s">
        <v>67</v>
      </c>
      <c r="C188" s="6" t="s">
        <v>80</v>
      </c>
      <c r="D188" s="6" t="s">
        <v>92</v>
      </c>
      <c r="E188" s="6" t="s">
        <v>178</v>
      </c>
      <c r="F188" s="7">
        <f t="shared" si="8"/>
        <v>9.5138888888888939E-2</v>
      </c>
      <c r="G188" s="8">
        <f t="shared" si="7"/>
        <v>3.4013888888888988</v>
      </c>
    </row>
    <row r="189" spans="1:7" x14ac:dyDescent="0.25">
      <c r="A189" s="5">
        <v>44245</v>
      </c>
      <c r="B189" s="6" t="s">
        <v>68</v>
      </c>
      <c r="C189" s="6" t="s">
        <v>80</v>
      </c>
      <c r="D189" s="6" t="s">
        <v>92</v>
      </c>
      <c r="E189" s="6" t="s">
        <v>179</v>
      </c>
      <c r="F189" s="7">
        <f t="shared" ref="F189:F220" si="9">E189-B189-(D189-C189)-"8:48"</f>
        <v>7.6388888888889173E-3</v>
      </c>
      <c r="G189" s="8">
        <f t="shared" si="7"/>
        <v>3.4090277777777875</v>
      </c>
    </row>
    <row r="190" spans="1:7" x14ac:dyDescent="0.25">
      <c r="A190" s="5">
        <v>44246</v>
      </c>
      <c r="B190" s="6" t="s">
        <v>69</v>
      </c>
      <c r="C190" s="6" t="s">
        <v>80</v>
      </c>
      <c r="D190" s="6" t="s">
        <v>92</v>
      </c>
      <c r="E190" s="6" t="s">
        <v>96</v>
      </c>
      <c r="F190" s="7">
        <f t="shared" si="9"/>
        <v>5.1388888888888984E-2</v>
      </c>
      <c r="G190" s="8">
        <f t="shared" si="7"/>
        <v>3.4604166666666765</v>
      </c>
    </row>
    <row r="191" spans="1:7" x14ac:dyDescent="0.25">
      <c r="A191" s="5">
        <v>44247</v>
      </c>
      <c r="B191" s="6" t="s">
        <v>70</v>
      </c>
      <c r="C191" s="6" t="s">
        <v>80</v>
      </c>
      <c r="D191" s="6" t="s">
        <v>92</v>
      </c>
      <c r="E191" s="6" t="s">
        <v>180</v>
      </c>
      <c r="F191" s="7">
        <f t="shared" si="9"/>
        <v>0.17152777777777789</v>
      </c>
      <c r="G191" s="8">
        <f t="shared" si="7"/>
        <v>3.6319444444444544</v>
      </c>
    </row>
    <row r="192" spans="1:7" x14ac:dyDescent="0.25">
      <c r="A192" s="5">
        <v>44250</v>
      </c>
      <c r="B192" s="6" t="s">
        <v>51</v>
      </c>
      <c r="C192" s="6" t="s">
        <v>80</v>
      </c>
      <c r="D192" s="6" t="s">
        <v>92</v>
      </c>
      <c r="E192" s="6" t="s">
        <v>147</v>
      </c>
      <c r="F192" s="7">
        <f t="shared" si="9"/>
        <v>2.0833333333333426E-2</v>
      </c>
      <c r="G192" s="8">
        <f t="shared" si="7"/>
        <v>3.6527777777777879</v>
      </c>
    </row>
    <row r="193" spans="1:7" x14ac:dyDescent="0.25">
      <c r="A193" s="5">
        <v>44251</v>
      </c>
      <c r="B193" s="6" t="s">
        <v>60</v>
      </c>
      <c r="C193" s="6" t="s">
        <v>80</v>
      </c>
      <c r="D193" s="6" t="s">
        <v>92</v>
      </c>
      <c r="E193" s="6" t="s">
        <v>169</v>
      </c>
      <c r="F193" s="7">
        <f t="shared" si="9"/>
        <v>2.2916666666666696E-2</v>
      </c>
      <c r="G193" s="8">
        <f t="shared" si="7"/>
        <v>3.6756944444444546</v>
      </c>
    </row>
    <row r="194" spans="1:7" x14ac:dyDescent="0.25">
      <c r="A194" s="5">
        <v>44252</v>
      </c>
      <c r="B194" s="6" t="s">
        <v>19</v>
      </c>
      <c r="C194" s="6" t="s">
        <v>80</v>
      </c>
      <c r="D194" s="6" t="s">
        <v>92</v>
      </c>
      <c r="E194" s="6" t="s">
        <v>154</v>
      </c>
      <c r="F194" s="7">
        <f t="shared" si="9"/>
        <v>3.0555555555555614E-2</v>
      </c>
      <c r="G194" s="8">
        <f t="shared" si="7"/>
        <v>3.70625000000001</v>
      </c>
    </row>
    <row r="195" spans="1:7" x14ac:dyDescent="0.25">
      <c r="A195" s="5">
        <v>44253</v>
      </c>
      <c r="B195" s="6" t="s">
        <v>31</v>
      </c>
      <c r="C195" s="6" t="s">
        <v>80</v>
      </c>
      <c r="D195" s="6" t="s">
        <v>92</v>
      </c>
      <c r="E195" s="6" t="s">
        <v>130</v>
      </c>
      <c r="F195" s="7">
        <f t="shared" si="9"/>
        <v>5.347222222222231E-2</v>
      </c>
      <c r="G195" s="8">
        <f t="shared" si="7"/>
        <v>3.7597222222222322</v>
      </c>
    </row>
    <row r="196" spans="1:7" x14ac:dyDescent="0.25">
      <c r="A196" s="5">
        <v>44254</v>
      </c>
      <c r="B196" s="6" t="s">
        <v>38</v>
      </c>
      <c r="C196" s="6" t="s">
        <v>80</v>
      </c>
      <c r="D196" s="6" t="s">
        <v>92</v>
      </c>
      <c r="E196" s="6" t="s">
        <v>181</v>
      </c>
      <c r="F196" s="7">
        <f t="shared" si="9"/>
        <v>5.347222222222231E-2</v>
      </c>
      <c r="G196" s="8">
        <f t="shared" si="7"/>
        <v>3.8131944444444543</v>
      </c>
    </row>
    <row r="197" spans="1:7" x14ac:dyDescent="0.25">
      <c r="A197" s="5">
        <v>44257</v>
      </c>
      <c r="B197" s="6" t="s">
        <v>71</v>
      </c>
      <c r="C197" s="6" t="s">
        <v>80</v>
      </c>
      <c r="D197" s="6" t="s">
        <v>92</v>
      </c>
      <c r="E197" s="6" t="s">
        <v>182</v>
      </c>
      <c r="F197" s="7">
        <f t="shared" si="9"/>
        <v>-8.6805555555555469E-2</v>
      </c>
      <c r="G197" s="8">
        <f t="shared" ref="G197:G260" si="10">F197+G196</f>
        <v>3.726388888888899</v>
      </c>
    </row>
    <row r="198" spans="1:7" x14ac:dyDescent="0.25">
      <c r="A198" s="5">
        <v>44258</v>
      </c>
      <c r="B198" s="6" t="s">
        <v>15</v>
      </c>
      <c r="C198" s="6" t="s">
        <v>80</v>
      </c>
      <c r="D198" s="6" t="s">
        <v>92</v>
      </c>
      <c r="E198" s="6" t="s">
        <v>100</v>
      </c>
      <c r="F198" s="7">
        <f t="shared" si="9"/>
        <v>-2.1527777777777701E-2</v>
      </c>
      <c r="G198" s="8">
        <f t="shared" si="10"/>
        <v>3.7048611111111214</v>
      </c>
    </row>
    <row r="199" spans="1:7" x14ac:dyDescent="0.25">
      <c r="A199" s="5">
        <v>44259</v>
      </c>
      <c r="B199" s="6" t="s">
        <v>44</v>
      </c>
      <c r="C199" s="6" t="s">
        <v>80</v>
      </c>
      <c r="D199" s="6" t="s">
        <v>92</v>
      </c>
      <c r="E199" s="6" t="s">
        <v>123</v>
      </c>
      <c r="F199" s="7">
        <f t="shared" si="9"/>
        <v>3.4027777777777823E-2</v>
      </c>
      <c r="G199" s="8">
        <f t="shared" si="10"/>
        <v>3.7388888888888991</v>
      </c>
    </row>
    <row r="200" spans="1:7" x14ac:dyDescent="0.25">
      <c r="A200" s="5">
        <v>44260</v>
      </c>
      <c r="B200" s="6" t="s">
        <v>18</v>
      </c>
      <c r="C200" s="6" t="s">
        <v>80</v>
      </c>
      <c r="D200" s="6" t="s">
        <v>92</v>
      </c>
      <c r="E200" s="6" t="s">
        <v>129</v>
      </c>
      <c r="F200" s="7">
        <f t="shared" si="9"/>
        <v>4.3055555555555569E-2</v>
      </c>
      <c r="G200" s="8">
        <f t="shared" si="10"/>
        <v>3.7819444444444548</v>
      </c>
    </row>
    <row r="201" spans="1:7" x14ac:dyDescent="0.25">
      <c r="A201" s="5">
        <v>44261</v>
      </c>
      <c r="B201" s="9">
        <v>0.33819444444444446</v>
      </c>
      <c r="C201" s="6" t="s">
        <v>80</v>
      </c>
      <c r="D201" s="6" t="s">
        <v>92</v>
      </c>
      <c r="E201" s="6" t="s">
        <v>72</v>
      </c>
      <c r="F201" s="7">
        <f t="shared" si="9"/>
        <v>2.6388888888888962E-2</v>
      </c>
      <c r="G201" s="8">
        <f t="shared" si="10"/>
        <v>3.8083333333333438</v>
      </c>
    </row>
    <row r="202" spans="1:7" x14ac:dyDescent="0.25">
      <c r="A202" s="5">
        <v>44264</v>
      </c>
      <c r="B202" s="6" t="s">
        <v>30</v>
      </c>
      <c r="C202" s="6" t="s">
        <v>80</v>
      </c>
      <c r="D202" s="6" t="s">
        <v>92</v>
      </c>
      <c r="E202" s="6" t="s">
        <v>133</v>
      </c>
      <c r="F202" s="7">
        <f t="shared" si="9"/>
        <v>1.3888888888889006E-2</v>
      </c>
      <c r="G202" s="8">
        <f t="shared" si="10"/>
        <v>3.8222222222222326</v>
      </c>
    </row>
    <row r="203" spans="1:7" x14ac:dyDescent="0.25">
      <c r="A203" s="5">
        <v>44265</v>
      </c>
      <c r="B203" s="6" t="s">
        <v>31</v>
      </c>
      <c r="C203" s="6" t="s">
        <v>80</v>
      </c>
      <c r="D203" s="6" t="s">
        <v>92</v>
      </c>
      <c r="E203" s="6" t="s">
        <v>129</v>
      </c>
      <c r="F203" s="7">
        <f t="shared" si="9"/>
        <v>4.9999999999999989E-2</v>
      </c>
      <c r="G203" s="8">
        <f t="shared" si="10"/>
        <v>3.8722222222222324</v>
      </c>
    </row>
    <row r="204" spans="1:7" x14ac:dyDescent="0.25">
      <c r="A204" s="5">
        <v>44266</v>
      </c>
      <c r="B204" s="6" t="s">
        <v>43</v>
      </c>
      <c r="C204" s="6" t="s">
        <v>80</v>
      </c>
      <c r="D204" s="6" t="s">
        <v>92</v>
      </c>
      <c r="E204" s="6" t="s">
        <v>78</v>
      </c>
      <c r="F204" s="7">
        <f t="shared" si="9"/>
        <v>9.7222222222222987E-3</v>
      </c>
      <c r="G204" s="8">
        <f t="shared" si="10"/>
        <v>3.8819444444444549</v>
      </c>
    </row>
    <row r="205" spans="1:7" x14ac:dyDescent="0.25">
      <c r="A205" s="5">
        <v>44267</v>
      </c>
      <c r="B205" s="6" t="s">
        <v>18</v>
      </c>
      <c r="C205" s="6" t="s">
        <v>80</v>
      </c>
      <c r="D205" s="6" t="s">
        <v>92</v>
      </c>
      <c r="E205" s="6" t="s">
        <v>172</v>
      </c>
      <c r="F205" s="7">
        <f t="shared" si="9"/>
        <v>3.1250000000000056E-2</v>
      </c>
      <c r="G205" s="8">
        <f t="shared" si="10"/>
        <v>3.9131944444444549</v>
      </c>
    </row>
    <row r="206" spans="1:7" x14ac:dyDescent="0.25">
      <c r="A206" s="5">
        <v>44268</v>
      </c>
      <c r="B206" s="6" t="s">
        <v>31</v>
      </c>
      <c r="C206" s="6" t="s">
        <v>80</v>
      </c>
      <c r="D206" s="6" t="s">
        <v>92</v>
      </c>
      <c r="E206" s="6" t="s">
        <v>113</v>
      </c>
      <c r="F206" s="7">
        <f t="shared" si="9"/>
        <v>4.8611111111111494E-3</v>
      </c>
      <c r="G206" s="8">
        <f t="shared" si="10"/>
        <v>3.9180555555555658</v>
      </c>
    </row>
    <row r="207" spans="1:7" x14ac:dyDescent="0.25">
      <c r="A207" s="5">
        <v>44271</v>
      </c>
      <c r="B207" s="6" t="s">
        <v>30</v>
      </c>
      <c r="C207" s="6" t="s">
        <v>80</v>
      </c>
      <c r="D207" s="6" t="s">
        <v>92</v>
      </c>
      <c r="E207" s="6" t="s">
        <v>47</v>
      </c>
      <c r="F207" s="7">
        <f t="shared" si="9"/>
        <v>2.0833333333333426E-2</v>
      </c>
      <c r="G207" s="8">
        <f t="shared" si="10"/>
        <v>3.9388888888888993</v>
      </c>
    </row>
    <row r="208" spans="1:7" x14ac:dyDescent="0.25">
      <c r="A208" s="5">
        <v>44272</v>
      </c>
      <c r="B208" s="6" t="s">
        <v>6</v>
      </c>
      <c r="C208" s="6" t="s">
        <v>80</v>
      </c>
      <c r="D208" s="6" t="s">
        <v>92</v>
      </c>
      <c r="E208" s="6" t="s">
        <v>129</v>
      </c>
      <c r="F208" s="7">
        <f t="shared" si="9"/>
        <v>4.2361111111111127E-2</v>
      </c>
      <c r="G208" s="8">
        <f t="shared" si="10"/>
        <v>3.9812500000000104</v>
      </c>
    </row>
    <row r="209" spans="1:7" x14ac:dyDescent="0.25">
      <c r="A209" s="5">
        <v>44273</v>
      </c>
      <c r="B209" s="6" t="s">
        <v>43</v>
      </c>
      <c r="C209" s="6" t="s">
        <v>80</v>
      </c>
      <c r="D209" s="6" t="s">
        <v>92</v>
      </c>
      <c r="E209" s="6" t="s">
        <v>81</v>
      </c>
      <c r="F209" s="7">
        <f t="shared" si="9"/>
        <v>1.8055555555555602E-2</v>
      </c>
      <c r="G209" s="8">
        <f t="shared" si="10"/>
        <v>3.9993055555555661</v>
      </c>
    </row>
    <row r="210" spans="1:7" x14ac:dyDescent="0.25">
      <c r="A210" s="5">
        <v>44274</v>
      </c>
      <c r="B210" s="6" t="s">
        <v>38</v>
      </c>
      <c r="C210" s="6" t="s">
        <v>80</v>
      </c>
      <c r="D210" s="6" t="s">
        <v>92</v>
      </c>
      <c r="E210" s="6" t="s">
        <v>98</v>
      </c>
      <c r="F210" s="7">
        <f t="shared" si="9"/>
        <v>1.3888888888888895E-2</v>
      </c>
      <c r="G210" s="8">
        <f t="shared" si="10"/>
        <v>4.0131944444444549</v>
      </c>
    </row>
    <row r="211" spans="1:7" x14ac:dyDescent="0.25">
      <c r="A211" s="5">
        <v>44275</v>
      </c>
      <c r="B211" s="6" t="s">
        <v>38</v>
      </c>
      <c r="C211" s="6" t="s">
        <v>80</v>
      </c>
      <c r="D211" s="6" t="s">
        <v>92</v>
      </c>
      <c r="E211" s="6" t="s">
        <v>117</v>
      </c>
      <c r="F211" s="7">
        <f t="shared" si="9"/>
        <v>1.3888888888889395E-3</v>
      </c>
      <c r="G211" s="8">
        <f t="shared" si="10"/>
        <v>4.0145833333333441</v>
      </c>
    </row>
    <row r="212" spans="1:7" x14ac:dyDescent="0.25">
      <c r="A212" s="5">
        <v>44278</v>
      </c>
      <c r="B212" s="6" t="s">
        <v>14</v>
      </c>
      <c r="C212" s="6" t="s">
        <v>80</v>
      </c>
      <c r="D212" s="6" t="s">
        <v>92</v>
      </c>
      <c r="E212" s="6" t="s">
        <v>160</v>
      </c>
      <c r="F212" s="7">
        <f t="shared" si="9"/>
        <v>2.222222222222231E-2</v>
      </c>
      <c r="G212" s="8">
        <f t="shared" si="10"/>
        <v>4.0368055555555662</v>
      </c>
    </row>
    <row r="213" spans="1:7" x14ac:dyDescent="0.25">
      <c r="A213" s="5">
        <v>44279</v>
      </c>
      <c r="B213" s="6" t="s">
        <v>18</v>
      </c>
      <c r="C213" s="6" t="s">
        <v>80</v>
      </c>
      <c r="D213" s="6" t="s">
        <v>92</v>
      </c>
      <c r="E213" s="6" t="s">
        <v>126</v>
      </c>
      <c r="F213" s="7">
        <f t="shared" si="9"/>
        <v>4.5833333333333448E-2</v>
      </c>
      <c r="G213" s="8">
        <f t="shared" si="10"/>
        <v>4.0826388888888996</v>
      </c>
    </row>
    <row r="214" spans="1:7" x14ac:dyDescent="0.25">
      <c r="A214" s="5">
        <v>44280</v>
      </c>
      <c r="B214" s="6" t="s">
        <v>8</v>
      </c>
      <c r="C214" s="6" t="s">
        <v>80</v>
      </c>
      <c r="D214" s="6" t="s">
        <v>92</v>
      </c>
      <c r="E214" s="6" t="s">
        <v>183</v>
      </c>
      <c r="F214" s="7">
        <f t="shared" si="9"/>
        <v>5.5555555555555913E-3</v>
      </c>
      <c r="G214" s="8">
        <f t="shared" si="10"/>
        <v>4.0881944444444551</v>
      </c>
    </row>
    <row r="215" spans="1:7" x14ac:dyDescent="0.25">
      <c r="A215" s="5">
        <v>44281</v>
      </c>
      <c r="B215" s="6" t="s">
        <v>51</v>
      </c>
      <c r="C215" s="6" t="s">
        <v>80</v>
      </c>
      <c r="D215" s="6" t="s">
        <v>92</v>
      </c>
      <c r="E215" s="6" t="s">
        <v>184</v>
      </c>
      <c r="F215" s="7">
        <f t="shared" si="9"/>
        <v>5.9027777777777846E-2</v>
      </c>
      <c r="G215" s="8">
        <f t="shared" si="10"/>
        <v>4.1472222222222328</v>
      </c>
    </row>
    <row r="216" spans="1:7" x14ac:dyDescent="0.25">
      <c r="A216" s="5">
        <v>44282</v>
      </c>
      <c r="B216" s="6" t="s">
        <v>21</v>
      </c>
      <c r="C216" s="6" t="s">
        <v>80</v>
      </c>
      <c r="D216" s="6" t="s">
        <v>92</v>
      </c>
      <c r="E216" s="6" t="s">
        <v>185</v>
      </c>
      <c r="F216" s="7">
        <f t="shared" si="9"/>
        <v>-4.4444444444444342E-2</v>
      </c>
      <c r="G216" s="8">
        <f t="shared" si="10"/>
        <v>4.1027777777777885</v>
      </c>
    </row>
    <row r="217" spans="1:7" x14ac:dyDescent="0.25">
      <c r="A217" s="5">
        <v>44285</v>
      </c>
      <c r="B217" s="6" t="s">
        <v>31</v>
      </c>
      <c r="C217" s="6" t="s">
        <v>80</v>
      </c>
      <c r="D217" s="6" t="s">
        <v>92</v>
      </c>
      <c r="E217" s="6" t="s">
        <v>84</v>
      </c>
      <c r="F217" s="7">
        <f t="shared" si="9"/>
        <v>9.0277777777778012E-3</v>
      </c>
      <c r="G217" s="8">
        <f t="shared" si="10"/>
        <v>4.1118055555555664</v>
      </c>
    </row>
    <row r="218" spans="1:7" x14ac:dyDescent="0.25">
      <c r="A218" s="5">
        <v>44286</v>
      </c>
      <c r="B218" s="6" t="s">
        <v>55</v>
      </c>
      <c r="C218" s="6" t="s">
        <v>80</v>
      </c>
      <c r="D218" s="6" t="s">
        <v>92</v>
      </c>
      <c r="E218" s="6" t="s">
        <v>94</v>
      </c>
      <c r="F218" s="7">
        <f t="shared" si="9"/>
        <v>4.5138888888889006E-2</v>
      </c>
      <c r="G218" s="8">
        <f t="shared" si="10"/>
        <v>4.1569444444444557</v>
      </c>
    </row>
    <row r="219" spans="1:7" x14ac:dyDescent="0.25">
      <c r="A219" s="5">
        <v>44287</v>
      </c>
      <c r="B219" s="6" t="s">
        <v>20</v>
      </c>
      <c r="C219" s="6" t="s">
        <v>80</v>
      </c>
      <c r="D219" s="6" t="s">
        <v>92</v>
      </c>
      <c r="E219" s="6" t="s">
        <v>95</v>
      </c>
      <c r="F219" s="7">
        <f t="shared" si="9"/>
        <v>1.1805555555555569E-2</v>
      </c>
      <c r="G219" s="8">
        <f t="shared" si="10"/>
        <v>4.1687500000000108</v>
      </c>
    </row>
    <row r="220" spans="1:7" x14ac:dyDescent="0.25">
      <c r="A220" s="5">
        <v>44288</v>
      </c>
      <c r="B220" s="6" t="s">
        <v>21</v>
      </c>
      <c r="C220" s="6" t="s">
        <v>80</v>
      </c>
      <c r="D220" s="6" t="s">
        <v>92</v>
      </c>
      <c r="E220" s="6" t="s">
        <v>150</v>
      </c>
      <c r="F220" s="7">
        <f t="shared" si="9"/>
        <v>1.0416666666666685E-2</v>
      </c>
      <c r="G220" s="8">
        <f t="shared" si="10"/>
        <v>4.1791666666666778</v>
      </c>
    </row>
    <row r="221" spans="1:7" x14ac:dyDescent="0.25">
      <c r="A221" s="5">
        <v>44289</v>
      </c>
      <c r="B221" s="6" t="s">
        <v>30</v>
      </c>
      <c r="C221" s="6" t="s">
        <v>80</v>
      </c>
      <c r="D221" s="6" t="s">
        <v>92</v>
      </c>
      <c r="E221" s="6" t="s">
        <v>186</v>
      </c>
      <c r="F221" s="7">
        <f t="shared" ref="F221:F252" si="11">E221-B221-(D221-C221)-"8:48"</f>
        <v>6.5972222222222265E-2</v>
      </c>
      <c r="G221" s="8">
        <f t="shared" si="10"/>
        <v>4.2451388888889001</v>
      </c>
    </row>
    <row r="222" spans="1:7" x14ac:dyDescent="0.25">
      <c r="A222" s="5">
        <v>44292</v>
      </c>
      <c r="B222" s="6" t="s">
        <v>43</v>
      </c>
      <c r="C222" s="6" t="s">
        <v>80</v>
      </c>
      <c r="D222" s="6" t="s">
        <v>92</v>
      </c>
      <c r="E222" s="6" t="s">
        <v>118</v>
      </c>
      <c r="F222" s="7">
        <f t="shared" si="11"/>
        <v>8.3333333333334147E-3</v>
      </c>
      <c r="G222" s="8">
        <f t="shared" si="10"/>
        <v>4.2534722222222339</v>
      </c>
    </row>
    <row r="223" spans="1:7" x14ac:dyDescent="0.25">
      <c r="A223" s="5">
        <v>44293</v>
      </c>
      <c r="B223" s="6" t="s">
        <v>38</v>
      </c>
      <c r="C223" s="6" t="s">
        <v>80</v>
      </c>
      <c r="D223" s="6" t="s">
        <v>92</v>
      </c>
      <c r="E223" s="6" t="s">
        <v>118</v>
      </c>
      <c r="F223" s="7">
        <f t="shared" si="11"/>
        <v>2.0833333333333814E-3</v>
      </c>
      <c r="G223" s="8">
        <f t="shared" si="10"/>
        <v>4.2555555555555671</v>
      </c>
    </row>
    <row r="224" spans="1:7" x14ac:dyDescent="0.25">
      <c r="A224" s="5">
        <v>44294</v>
      </c>
      <c r="B224" s="6" t="s">
        <v>6</v>
      </c>
      <c r="C224" s="6" t="s">
        <v>80</v>
      </c>
      <c r="D224" s="6" t="s">
        <v>92</v>
      </c>
      <c r="E224" s="6" t="s">
        <v>187</v>
      </c>
      <c r="F224" s="7">
        <f t="shared" si="11"/>
        <v>2.222222222222231E-2</v>
      </c>
      <c r="G224" s="8">
        <f t="shared" si="10"/>
        <v>4.2777777777777892</v>
      </c>
    </row>
    <row r="225" spans="1:8" x14ac:dyDescent="0.25">
      <c r="A225" s="5">
        <v>44295</v>
      </c>
      <c r="B225" s="6" t="s">
        <v>60</v>
      </c>
      <c r="C225" s="6" t="s">
        <v>80</v>
      </c>
      <c r="D225" s="6" t="s">
        <v>92</v>
      </c>
      <c r="E225" s="6" t="s">
        <v>188</v>
      </c>
      <c r="F225" s="7">
        <f t="shared" si="11"/>
        <v>-2.2916666666666585E-2</v>
      </c>
      <c r="G225" s="8">
        <f t="shared" si="10"/>
        <v>4.254861111111123</v>
      </c>
    </row>
    <row r="226" spans="1:8" x14ac:dyDescent="0.25">
      <c r="A226" s="5">
        <v>44296</v>
      </c>
      <c r="B226" s="6" t="s">
        <v>32</v>
      </c>
      <c r="C226" s="6" t="s">
        <v>80</v>
      </c>
      <c r="D226" s="6" t="s">
        <v>92</v>
      </c>
      <c r="E226" s="6" t="s">
        <v>90</v>
      </c>
      <c r="F226" s="7">
        <f t="shared" si="11"/>
        <v>-4.8611111111110383E-3</v>
      </c>
      <c r="G226" s="8">
        <f t="shared" si="10"/>
        <v>4.2500000000000115</v>
      </c>
    </row>
    <row r="227" spans="1:8" x14ac:dyDescent="0.25">
      <c r="A227" s="5">
        <v>44299</v>
      </c>
      <c r="B227" s="6" t="s">
        <v>40</v>
      </c>
      <c r="C227" s="6" t="s">
        <v>80</v>
      </c>
      <c r="D227" s="6" t="s">
        <v>92</v>
      </c>
      <c r="E227" s="6" t="s">
        <v>113</v>
      </c>
      <c r="F227" s="7">
        <f t="shared" si="11"/>
        <v>6.9444444444449749E-4</v>
      </c>
      <c r="G227" s="8">
        <f t="shared" si="10"/>
        <v>4.2506944444444557</v>
      </c>
    </row>
    <row r="228" spans="1:8" x14ac:dyDescent="0.25">
      <c r="A228" s="5">
        <v>44300</v>
      </c>
      <c r="B228" s="10" t="s">
        <v>198</v>
      </c>
      <c r="C228" s="10" t="s">
        <v>198</v>
      </c>
      <c r="D228" s="10" t="s">
        <v>198</v>
      </c>
      <c r="E228" s="10" t="s">
        <v>198</v>
      </c>
      <c r="F228" s="7">
        <v>0</v>
      </c>
      <c r="G228" s="8">
        <f t="shared" si="10"/>
        <v>4.2506944444444557</v>
      </c>
    </row>
    <row r="229" spans="1:8" x14ac:dyDescent="0.25">
      <c r="A229" s="5">
        <v>44301</v>
      </c>
      <c r="B229" s="6" t="s">
        <v>33</v>
      </c>
      <c r="C229" s="6" t="s">
        <v>80</v>
      </c>
      <c r="D229" s="6" t="s">
        <v>92</v>
      </c>
      <c r="E229" s="6" t="s">
        <v>117</v>
      </c>
      <c r="F229" s="7">
        <f>E229-B229-(D229-C229)-"8:48"</f>
        <v>-6.9444444444443643E-3</v>
      </c>
      <c r="G229" s="8">
        <f t="shared" si="10"/>
        <v>4.243750000000011</v>
      </c>
    </row>
    <row r="230" spans="1:8" x14ac:dyDescent="0.25">
      <c r="A230" s="5">
        <v>44302</v>
      </c>
      <c r="B230" s="6" t="s">
        <v>38</v>
      </c>
      <c r="C230" s="6" t="s">
        <v>80</v>
      </c>
      <c r="D230" s="6" t="s">
        <v>92</v>
      </c>
      <c r="E230" s="6" t="s">
        <v>189</v>
      </c>
      <c r="F230" s="7">
        <f>E230-B230-(D230-C230)-"8:48"</f>
        <v>5.2777777777777868E-2</v>
      </c>
      <c r="G230" s="8">
        <f t="shared" si="10"/>
        <v>4.296527777777789</v>
      </c>
    </row>
    <row r="231" spans="1:8" x14ac:dyDescent="0.25">
      <c r="A231" s="5">
        <v>44303</v>
      </c>
      <c r="B231" s="6" t="s">
        <v>199</v>
      </c>
      <c r="C231" s="6" t="s">
        <v>199</v>
      </c>
      <c r="D231" s="6" t="s">
        <v>199</v>
      </c>
      <c r="E231" s="6" t="s">
        <v>199</v>
      </c>
      <c r="F231" s="7">
        <v>0</v>
      </c>
      <c r="G231" s="8">
        <f t="shared" si="10"/>
        <v>4.296527777777789</v>
      </c>
    </row>
    <row r="232" spans="1:8" x14ac:dyDescent="0.25">
      <c r="A232" s="5">
        <v>44306</v>
      </c>
      <c r="B232" s="6" t="s">
        <v>199</v>
      </c>
      <c r="C232" s="6" t="s">
        <v>199</v>
      </c>
      <c r="D232" s="6" t="s">
        <v>199</v>
      </c>
      <c r="E232" s="6" t="s">
        <v>199</v>
      </c>
      <c r="F232" s="7">
        <v>0</v>
      </c>
      <c r="G232" s="8">
        <f t="shared" si="10"/>
        <v>4.296527777777789</v>
      </c>
    </row>
    <row r="233" spans="1:8" x14ac:dyDescent="0.25">
      <c r="A233" s="5">
        <v>44307</v>
      </c>
      <c r="B233" s="6" t="s">
        <v>44</v>
      </c>
      <c r="C233" s="6" t="s">
        <v>80</v>
      </c>
      <c r="D233" s="6" t="s">
        <v>92</v>
      </c>
      <c r="E233" s="6" t="s">
        <v>149</v>
      </c>
      <c r="F233" s="7">
        <f t="shared" ref="F233:F239" si="12">E233-B233-(D233-C233)-"8:48"</f>
        <v>1.3888888888889395E-3</v>
      </c>
      <c r="G233" s="8">
        <f t="shared" si="10"/>
        <v>4.2979166666666782</v>
      </c>
    </row>
    <row r="234" spans="1:8" x14ac:dyDescent="0.25">
      <c r="A234" s="5">
        <v>44308</v>
      </c>
      <c r="B234" s="6" t="s">
        <v>51</v>
      </c>
      <c r="C234" s="6" t="s">
        <v>80</v>
      </c>
      <c r="D234" s="6" t="s">
        <v>92</v>
      </c>
      <c r="E234" s="6" t="s">
        <v>120</v>
      </c>
      <c r="F234" s="7">
        <f t="shared" si="12"/>
        <v>8.3333333333333592E-3</v>
      </c>
      <c r="G234" s="8">
        <f t="shared" si="10"/>
        <v>4.3062500000000119</v>
      </c>
    </row>
    <row r="235" spans="1:8" x14ac:dyDescent="0.25">
      <c r="A235" s="5">
        <v>44309</v>
      </c>
      <c r="B235" s="6" t="s">
        <v>21</v>
      </c>
      <c r="C235" s="6" t="s">
        <v>80</v>
      </c>
      <c r="D235" s="6" t="s">
        <v>92</v>
      </c>
      <c r="E235" s="6" t="s">
        <v>87</v>
      </c>
      <c r="F235" s="7">
        <f t="shared" si="12"/>
        <v>1.1805555555555569E-2</v>
      </c>
      <c r="G235" s="8">
        <f t="shared" si="10"/>
        <v>4.3180555555555671</v>
      </c>
    </row>
    <row r="236" spans="1:8" x14ac:dyDescent="0.25">
      <c r="A236" s="5">
        <v>44310</v>
      </c>
      <c r="B236" s="6" t="s">
        <v>6</v>
      </c>
      <c r="C236" s="6" t="s">
        <v>80</v>
      </c>
      <c r="D236" s="6" t="s">
        <v>92</v>
      </c>
      <c r="E236" s="6" t="s">
        <v>78</v>
      </c>
      <c r="F236" s="7">
        <f t="shared" si="12"/>
        <v>6.9444444444449749E-4</v>
      </c>
      <c r="G236" s="8">
        <f t="shared" si="10"/>
        <v>4.3187500000000112</v>
      </c>
    </row>
    <row r="237" spans="1:8" x14ac:dyDescent="0.25">
      <c r="A237" s="5">
        <v>44313</v>
      </c>
      <c r="B237" s="6" t="s">
        <v>20</v>
      </c>
      <c r="C237" s="6" t="s">
        <v>80</v>
      </c>
      <c r="D237" s="6" t="s">
        <v>92</v>
      </c>
      <c r="E237" s="6" t="s">
        <v>117</v>
      </c>
      <c r="F237" s="7">
        <f t="shared" si="12"/>
        <v>0</v>
      </c>
      <c r="G237" s="8">
        <f t="shared" si="10"/>
        <v>4.3187500000000112</v>
      </c>
    </row>
    <row r="238" spans="1:8" x14ac:dyDescent="0.25">
      <c r="A238" s="5">
        <v>44314</v>
      </c>
      <c r="B238" s="6" t="s">
        <v>73</v>
      </c>
      <c r="C238" s="6" t="s">
        <v>80</v>
      </c>
      <c r="D238" s="6" t="s">
        <v>92</v>
      </c>
      <c r="E238" s="6" t="s">
        <v>101</v>
      </c>
      <c r="F238" s="7">
        <f t="shared" si="12"/>
        <v>-2.4305555555555469E-2</v>
      </c>
      <c r="G238" s="8">
        <f t="shared" si="10"/>
        <v>4.2944444444444558</v>
      </c>
    </row>
    <row r="239" spans="1:8" x14ac:dyDescent="0.25">
      <c r="A239" s="5">
        <v>44315</v>
      </c>
      <c r="B239" s="6" t="s">
        <v>74</v>
      </c>
      <c r="C239" s="6" t="s">
        <v>80</v>
      </c>
      <c r="D239" s="6" t="s">
        <v>92</v>
      </c>
      <c r="E239" s="6" t="s">
        <v>190</v>
      </c>
      <c r="F239" s="7">
        <f t="shared" si="12"/>
        <v>0.38125000000000003</v>
      </c>
      <c r="G239" s="8">
        <f t="shared" si="10"/>
        <v>4.6756944444444555</v>
      </c>
      <c r="H239" t="s">
        <v>201</v>
      </c>
    </row>
    <row r="240" spans="1:8" x14ac:dyDescent="0.25">
      <c r="A240" s="5">
        <v>44316</v>
      </c>
      <c r="B240" s="6" t="s">
        <v>75</v>
      </c>
      <c r="C240" s="7">
        <v>0</v>
      </c>
      <c r="D240" s="7">
        <v>0</v>
      </c>
      <c r="E240" s="6" t="s">
        <v>191</v>
      </c>
      <c r="F240" s="7">
        <f>E240-B240-(D240-C240)</f>
        <v>2.5000000000000001E-2</v>
      </c>
      <c r="G240" s="8">
        <f t="shared" si="10"/>
        <v>4.7006944444444558</v>
      </c>
      <c r="H240" t="s">
        <v>202</v>
      </c>
    </row>
    <row r="241" spans="1:7" x14ac:dyDescent="0.25">
      <c r="A241" s="5">
        <v>44317</v>
      </c>
      <c r="B241" s="9">
        <v>0.33680555555555558</v>
      </c>
      <c r="C241" s="6" t="s">
        <v>80</v>
      </c>
      <c r="D241" s="6" t="s">
        <v>92</v>
      </c>
      <c r="E241" s="6" t="s">
        <v>76</v>
      </c>
      <c r="F241" s="7">
        <f t="shared" ref="F241:F274" si="13">E241-B241-(D241-C241)-"8:48"</f>
        <v>-1.3888888888888284E-3</v>
      </c>
      <c r="G241" s="8">
        <f t="shared" si="10"/>
        <v>4.6993055555555667</v>
      </c>
    </row>
    <row r="242" spans="1:7" x14ac:dyDescent="0.25">
      <c r="A242" s="5">
        <v>44320</v>
      </c>
      <c r="B242" s="6" t="s">
        <v>18</v>
      </c>
      <c r="C242" s="6" t="s">
        <v>80</v>
      </c>
      <c r="D242" s="6" t="s">
        <v>92</v>
      </c>
      <c r="E242" s="6" t="s">
        <v>85</v>
      </c>
      <c r="F242" s="7">
        <f t="shared" si="13"/>
        <v>-2.2916666666666641E-2</v>
      </c>
      <c r="G242" s="8">
        <f t="shared" si="10"/>
        <v>4.6763888888889005</v>
      </c>
    </row>
    <row r="243" spans="1:7" x14ac:dyDescent="0.25">
      <c r="A243" s="5">
        <v>44321</v>
      </c>
      <c r="B243" s="6" t="s">
        <v>7</v>
      </c>
      <c r="C243" s="6" t="s">
        <v>80</v>
      </c>
      <c r="D243" s="6" t="s">
        <v>92</v>
      </c>
      <c r="E243" s="6" t="s">
        <v>113</v>
      </c>
      <c r="F243" s="7">
        <f t="shared" si="13"/>
        <v>-4.8611111111110383E-3</v>
      </c>
      <c r="G243" s="8">
        <f t="shared" si="10"/>
        <v>4.671527777777789</v>
      </c>
    </row>
    <row r="244" spans="1:7" x14ac:dyDescent="0.25">
      <c r="A244" s="5">
        <v>44322</v>
      </c>
      <c r="B244" s="6" t="s">
        <v>20</v>
      </c>
      <c r="C244" s="6" t="s">
        <v>80</v>
      </c>
      <c r="D244" s="6" t="s">
        <v>92</v>
      </c>
      <c r="E244" s="6" t="s">
        <v>102</v>
      </c>
      <c r="F244" s="7">
        <f t="shared" si="13"/>
        <v>1.87500000000001E-2</v>
      </c>
      <c r="G244" s="8">
        <f t="shared" si="10"/>
        <v>4.6902777777777889</v>
      </c>
    </row>
    <row r="245" spans="1:7" x14ac:dyDescent="0.25">
      <c r="A245" s="5">
        <v>44323</v>
      </c>
      <c r="B245" s="6" t="s">
        <v>40</v>
      </c>
      <c r="C245" s="6" t="s">
        <v>80</v>
      </c>
      <c r="D245" s="6" t="s">
        <v>92</v>
      </c>
      <c r="E245" s="6" t="s">
        <v>192</v>
      </c>
      <c r="F245" s="7">
        <f t="shared" si="13"/>
        <v>8.9583333333333404E-2</v>
      </c>
      <c r="G245" s="8">
        <f t="shared" si="10"/>
        <v>4.7798611111111224</v>
      </c>
    </row>
    <row r="246" spans="1:7" x14ac:dyDescent="0.25">
      <c r="A246" s="5">
        <v>44324</v>
      </c>
      <c r="B246" s="6" t="s">
        <v>30</v>
      </c>
      <c r="C246" s="6" t="s">
        <v>80</v>
      </c>
      <c r="D246" s="6" t="s">
        <v>92</v>
      </c>
      <c r="E246" s="6" t="s">
        <v>185</v>
      </c>
      <c r="F246" s="7">
        <f t="shared" si="13"/>
        <v>-4.722222222222211E-2</v>
      </c>
      <c r="G246" s="8">
        <f t="shared" si="10"/>
        <v>4.7326388888888999</v>
      </c>
    </row>
    <row r="247" spans="1:7" x14ac:dyDescent="0.25">
      <c r="A247" s="5">
        <v>44327</v>
      </c>
      <c r="B247" s="6" t="s">
        <v>30</v>
      </c>
      <c r="C247" s="6" t="s">
        <v>80</v>
      </c>
      <c r="D247" s="6" t="s">
        <v>92</v>
      </c>
      <c r="E247" s="6" t="s">
        <v>114</v>
      </c>
      <c r="F247" s="7">
        <f t="shared" si="13"/>
        <v>1.3888888888889395E-3</v>
      </c>
      <c r="G247" s="8">
        <f t="shared" si="10"/>
        <v>4.734027777777789</v>
      </c>
    </row>
    <row r="248" spans="1:7" x14ac:dyDescent="0.25">
      <c r="A248" s="5">
        <v>44328</v>
      </c>
      <c r="B248" s="6" t="s">
        <v>38</v>
      </c>
      <c r="C248" s="6" t="s">
        <v>80</v>
      </c>
      <c r="D248" s="6" t="s">
        <v>92</v>
      </c>
      <c r="E248" s="6" t="s">
        <v>103</v>
      </c>
      <c r="F248" s="7">
        <f t="shared" si="13"/>
        <v>-2.7777777777777124E-3</v>
      </c>
      <c r="G248" s="8">
        <f t="shared" si="10"/>
        <v>4.7312500000000117</v>
      </c>
    </row>
    <row r="249" spans="1:7" x14ac:dyDescent="0.25">
      <c r="A249" s="5">
        <v>44329</v>
      </c>
      <c r="B249" s="6" t="s">
        <v>40</v>
      </c>
      <c r="C249" s="6" t="s">
        <v>80</v>
      </c>
      <c r="D249" s="6" t="s">
        <v>92</v>
      </c>
      <c r="E249" s="6" t="s">
        <v>122</v>
      </c>
      <c r="F249" s="7">
        <f t="shared" si="13"/>
        <v>2.1527777777777868E-2</v>
      </c>
      <c r="G249" s="8">
        <f t="shared" si="10"/>
        <v>4.7527777777777898</v>
      </c>
    </row>
    <row r="250" spans="1:7" x14ac:dyDescent="0.25">
      <c r="A250" s="5">
        <v>44330</v>
      </c>
      <c r="B250" s="6" t="s">
        <v>44</v>
      </c>
      <c r="C250" s="6" t="s">
        <v>80</v>
      </c>
      <c r="D250" s="6" t="s">
        <v>92</v>
      </c>
      <c r="E250" s="6" t="s">
        <v>84</v>
      </c>
      <c r="F250" s="7">
        <f t="shared" si="13"/>
        <v>7.6388888888889173E-3</v>
      </c>
      <c r="G250" s="8">
        <f t="shared" si="10"/>
        <v>4.7604166666666785</v>
      </c>
    </row>
    <row r="251" spans="1:7" x14ac:dyDescent="0.25">
      <c r="A251" s="5">
        <v>44331</v>
      </c>
      <c r="B251" s="6" t="s">
        <v>77</v>
      </c>
      <c r="C251" s="6" t="s">
        <v>80</v>
      </c>
      <c r="D251" s="6" t="s">
        <v>92</v>
      </c>
      <c r="E251" s="6" t="s">
        <v>87</v>
      </c>
      <c r="F251" s="7">
        <f t="shared" si="13"/>
        <v>-6.9444444444444198E-3</v>
      </c>
      <c r="G251" s="8">
        <f t="shared" si="10"/>
        <v>4.7534722222222339</v>
      </c>
    </row>
    <row r="252" spans="1:7" x14ac:dyDescent="0.25">
      <c r="A252" s="5">
        <v>44334</v>
      </c>
      <c r="B252" s="6" t="s">
        <v>32</v>
      </c>
      <c r="C252" s="6" t="s">
        <v>80</v>
      </c>
      <c r="D252" s="6" t="s">
        <v>92</v>
      </c>
      <c r="E252" s="6" t="s">
        <v>105</v>
      </c>
      <c r="F252" s="7">
        <f t="shared" si="13"/>
        <v>3.4722222222222654E-3</v>
      </c>
      <c r="G252" s="8">
        <f t="shared" si="10"/>
        <v>4.7569444444444562</v>
      </c>
    </row>
    <row r="253" spans="1:7" x14ac:dyDescent="0.25">
      <c r="A253" s="5">
        <v>44335</v>
      </c>
      <c r="B253" s="9">
        <v>0.33888888888888891</v>
      </c>
      <c r="C253" s="6" t="s">
        <v>80</v>
      </c>
      <c r="D253" s="6" t="s">
        <v>92</v>
      </c>
      <c r="E253" s="6" t="s">
        <v>78</v>
      </c>
      <c r="F253" s="7">
        <f t="shared" si="13"/>
        <v>5.5555555555555913E-3</v>
      </c>
      <c r="G253" s="8">
        <f t="shared" si="10"/>
        <v>4.7625000000000117</v>
      </c>
    </row>
    <row r="254" spans="1:7" x14ac:dyDescent="0.25">
      <c r="A254" s="5">
        <v>44336</v>
      </c>
      <c r="B254" s="6" t="s">
        <v>6</v>
      </c>
      <c r="C254" s="6" t="s">
        <v>80</v>
      </c>
      <c r="D254" s="6" t="s">
        <v>92</v>
      </c>
      <c r="E254" s="6" t="s">
        <v>81</v>
      </c>
      <c r="F254" s="7">
        <f t="shared" si="13"/>
        <v>9.0277777777778012E-3</v>
      </c>
      <c r="G254" s="8">
        <f t="shared" si="10"/>
        <v>4.7715277777777896</v>
      </c>
    </row>
    <row r="255" spans="1:7" x14ac:dyDescent="0.25">
      <c r="A255" s="5">
        <v>44337</v>
      </c>
      <c r="B255" s="6" t="s">
        <v>21</v>
      </c>
      <c r="C255" s="6" t="s">
        <v>80</v>
      </c>
      <c r="D255" s="6" t="s">
        <v>92</v>
      </c>
      <c r="E255" s="6" t="s">
        <v>103</v>
      </c>
      <c r="F255" s="7">
        <f t="shared" si="13"/>
        <v>-3.4722222222221544E-3</v>
      </c>
      <c r="G255" s="8">
        <f t="shared" si="10"/>
        <v>4.7680555555555673</v>
      </c>
    </row>
    <row r="256" spans="1:7" x14ac:dyDescent="0.25">
      <c r="A256" s="5">
        <v>44338</v>
      </c>
      <c r="B256" s="6" t="s">
        <v>30</v>
      </c>
      <c r="C256" s="6" t="s">
        <v>80</v>
      </c>
      <c r="D256" s="6" t="s">
        <v>92</v>
      </c>
      <c r="E256" s="6" t="s">
        <v>193</v>
      </c>
      <c r="F256" s="7">
        <f t="shared" si="13"/>
        <v>-7.6388888888888062E-3</v>
      </c>
      <c r="G256" s="8">
        <f t="shared" si="10"/>
        <v>4.7604166666666785</v>
      </c>
    </row>
    <row r="257" spans="1:7" x14ac:dyDescent="0.25">
      <c r="A257" s="5">
        <v>44341</v>
      </c>
      <c r="B257" s="6" t="s">
        <v>46</v>
      </c>
      <c r="C257" s="6" t="s">
        <v>80</v>
      </c>
      <c r="D257" s="6" t="s">
        <v>92</v>
      </c>
      <c r="E257" s="6" t="s">
        <v>171</v>
      </c>
      <c r="F257" s="7">
        <f t="shared" si="13"/>
        <v>-1.5972222222222165E-2</v>
      </c>
      <c r="G257" s="8">
        <f t="shared" si="10"/>
        <v>4.744444444444456</v>
      </c>
    </row>
    <row r="258" spans="1:7" x14ac:dyDescent="0.25">
      <c r="A258" s="5">
        <v>44342</v>
      </c>
      <c r="B258" s="6" t="s">
        <v>19</v>
      </c>
      <c r="C258" s="6" t="s">
        <v>80</v>
      </c>
      <c r="D258" s="6" t="s">
        <v>92</v>
      </c>
      <c r="E258" s="6" t="s">
        <v>127</v>
      </c>
      <c r="F258" s="7">
        <f t="shared" si="13"/>
        <v>2.0833333333333814E-3</v>
      </c>
      <c r="G258" s="8">
        <f t="shared" si="10"/>
        <v>4.7465277777777892</v>
      </c>
    </row>
    <row r="259" spans="1:7" x14ac:dyDescent="0.25">
      <c r="A259" s="5">
        <v>44343</v>
      </c>
      <c r="B259" s="6" t="s">
        <v>30</v>
      </c>
      <c r="C259" s="6" t="s">
        <v>80</v>
      </c>
      <c r="D259" s="6" t="s">
        <v>92</v>
      </c>
      <c r="E259" s="6" t="s">
        <v>139</v>
      </c>
      <c r="F259" s="7">
        <f t="shared" si="13"/>
        <v>6.2500000000000333E-3</v>
      </c>
      <c r="G259" s="8">
        <f t="shared" si="10"/>
        <v>4.7527777777777889</v>
      </c>
    </row>
    <row r="260" spans="1:7" x14ac:dyDescent="0.25">
      <c r="A260" s="5">
        <v>44344</v>
      </c>
      <c r="B260" s="6" t="s">
        <v>29</v>
      </c>
      <c r="C260" s="6" t="s">
        <v>80</v>
      </c>
      <c r="D260" s="6" t="s">
        <v>92</v>
      </c>
      <c r="E260" s="6" t="s">
        <v>91</v>
      </c>
      <c r="F260" s="7">
        <f t="shared" si="13"/>
        <v>-2.0138888888888817E-2</v>
      </c>
      <c r="G260" s="8">
        <f t="shared" si="10"/>
        <v>4.7326388888888999</v>
      </c>
    </row>
    <row r="261" spans="1:7" x14ac:dyDescent="0.25">
      <c r="A261" s="5">
        <v>44345</v>
      </c>
      <c r="B261" s="6" t="s">
        <v>18</v>
      </c>
      <c r="C261" s="6" t="s">
        <v>80</v>
      </c>
      <c r="D261" s="6" t="s">
        <v>92</v>
      </c>
      <c r="E261" s="6" t="s">
        <v>95</v>
      </c>
      <c r="F261" s="7">
        <f t="shared" si="13"/>
        <v>1.1111111111111127E-2</v>
      </c>
      <c r="G261" s="8">
        <f t="shared" ref="G261:G276" si="14">F261+G260</f>
        <v>4.743750000000011</v>
      </c>
    </row>
    <row r="262" spans="1:7" x14ac:dyDescent="0.25">
      <c r="A262" s="5">
        <v>44348</v>
      </c>
      <c r="B262" s="6" t="s">
        <v>16</v>
      </c>
      <c r="C262" s="6" t="s">
        <v>80</v>
      </c>
      <c r="D262" s="6" t="s">
        <v>92</v>
      </c>
      <c r="E262" s="6" t="s">
        <v>194</v>
      </c>
      <c r="F262" s="7">
        <f t="shared" si="13"/>
        <v>-1.8055555555555436E-2</v>
      </c>
      <c r="G262" s="8">
        <f t="shared" si="14"/>
        <v>4.7256944444444553</v>
      </c>
    </row>
    <row r="263" spans="1:7" x14ac:dyDescent="0.25">
      <c r="A263" s="5">
        <v>44349</v>
      </c>
      <c r="B263" s="6" t="s">
        <v>6</v>
      </c>
      <c r="C263" s="6" t="s">
        <v>80</v>
      </c>
      <c r="D263" s="6" t="s">
        <v>92</v>
      </c>
      <c r="E263" s="6" t="s">
        <v>140</v>
      </c>
      <c r="F263" s="7">
        <f t="shared" si="13"/>
        <v>4.1666666666667074E-3</v>
      </c>
      <c r="G263" s="8">
        <f t="shared" si="14"/>
        <v>4.7298611111111217</v>
      </c>
    </row>
    <row r="264" spans="1:7" x14ac:dyDescent="0.25">
      <c r="A264" s="5">
        <v>44350</v>
      </c>
      <c r="B264" s="6" t="s">
        <v>20</v>
      </c>
      <c r="C264" s="6" t="s">
        <v>80</v>
      </c>
      <c r="D264" s="6" t="s">
        <v>92</v>
      </c>
      <c r="E264" s="6" t="s">
        <v>140</v>
      </c>
      <c r="F264" s="7">
        <f t="shared" si="13"/>
        <v>5.5555555555555913E-3</v>
      </c>
      <c r="G264" s="8">
        <f t="shared" si="14"/>
        <v>4.7354166666666773</v>
      </c>
    </row>
    <row r="265" spans="1:7" x14ac:dyDescent="0.25">
      <c r="A265" s="5">
        <v>44351</v>
      </c>
      <c r="B265" s="6" t="s">
        <v>30</v>
      </c>
      <c r="C265" s="6" t="s">
        <v>80</v>
      </c>
      <c r="D265" s="6" t="s">
        <v>92</v>
      </c>
      <c r="E265" s="6" t="s">
        <v>195</v>
      </c>
      <c r="F265" s="7">
        <f t="shared" si="13"/>
        <v>-0.12499999999999994</v>
      </c>
      <c r="G265" s="8">
        <f t="shared" si="14"/>
        <v>4.6104166666666773</v>
      </c>
    </row>
    <row r="266" spans="1:7" x14ac:dyDescent="0.25">
      <c r="A266" s="5">
        <v>44352</v>
      </c>
      <c r="B266" s="6" t="s">
        <v>38</v>
      </c>
      <c r="C266" s="6" t="s">
        <v>80</v>
      </c>
      <c r="D266" s="6" t="s">
        <v>92</v>
      </c>
      <c r="E266" s="6" t="s">
        <v>127</v>
      </c>
      <c r="F266" s="7">
        <f t="shared" si="13"/>
        <v>6.9444444444449749E-4</v>
      </c>
      <c r="G266" s="8">
        <f t="shared" si="14"/>
        <v>4.6111111111111214</v>
      </c>
    </row>
    <row r="267" spans="1:7" x14ac:dyDescent="0.25">
      <c r="A267" s="5">
        <v>44355</v>
      </c>
      <c r="B267" s="6" t="s">
        <v>55</v>
      </c>
      <c r="C267" s="6" t="s">
        <v>80</v>
      </c>
      <c r="D267" s="6" t="s">
        <v>92</v>
      </c>
      <c r="E267" s="6" t="s">
        <v>169</v>
      </c>
      <c r="F267" s="7">
        <f t="shared" si="13"/>
        <v>9.7222222222222432E-3</v>
      </c>
      <c r="G267" s="8">
        <f t="shared" si="14"/>
        <v>4.6208333333333433</v>
      </c>
    </row>
    <row r="268" spans="1:7" x14ac:dyDescent="0.25">
      <c r="A268" s="5">
        <v>44356</v>
      </c>
      <c r="B268" s="6" t="s">
        <v>79</v>
      </c>
      <c r="C268" s="6" t="s">
        <v>80</v>
      </c>
      <c r="D268" s="6" t="s">
        <v>92</v>
      </c>
      <c r="E268" s="6" t="s">
        <v>176</v>
      </c>
      <c r="F268" s="7">
        <f t="shared" si="13"/>
        <v>-6.4583333333333215E-2</v>
      </c>
      <c r="G268" s="8">
        <f t="shared" si="14"/>
        <v>4.5562500000000101</v>
      </c>
    </row>
    <row r="269" spans="1:7" x14ac:dyDescent="0.25">
      <c r="A269" s="5">
        <v>44357</v>
      </c>
      <c r="B269" s="6" t="s">
        <v>30</v>
      </c>
      <c r="C269" s="6" t="s">
        <v>80</v>
      </c>
      <c r="D269" s="6" t="s">
        <v>92</v>
      </c>
      <c r="E269" s="6" t="s">
        <v>98</v>
      </c>
      <c r="F269" s="7">
        <f t="shared" si="13"/>
        <v>1.0416666666666685E-2</v>
      </c>
      <c r="G269" s="8">
        <f t="shared" si="14"/>
        <v>4.5666666666666771</v>
      </c>
    </row>
    <row r="270" spans="1:7" x14ac:dyDescent="0.25">
      <c r="A270" s="5">
        <v>44358</v>
      </c>
      <c r="B270" s="6" t="s">
        <v>14</v>
      </c>
      <c r="C270" s="6" t="s">
        <v>80</v>
      </c>
      <c r="D270" s="6" t="s">
        <v>92</v>
      </c>
      <c r="E270" s="6" t="s">
        <v>139</v>
      </c>
      <c r="F270" s="7">
        <f t="shared" si="13"/>
        <v>4.1666666666667074E-3</v>
      </c>
      <c r="G270" s="8">
        <f t="shared" si="14"/>
        <v>4.5708333333333435</v>
      </c>
    </row>
    <row r="271" spans="1:7" x14ac:dyDescent="0.25">
      <c r="A271" s="5">
        <v>44359</v>
      </c>
      <c r="B271" s="6" t="s">
        <v>5</v>
      </c>
      <c r="C271" s="6" t="s">
        <v>80</v>
      </c>
      <c r="D271" s="6" t="s">
        <v>92</v>
      </c>
      <c r="E271" s="6" t="s">
        <v>78</v>
      </c>
      <c r="F271" s="7">
        <f t="shared" si="13"/>
        <v>-3.4722222222221544E-3</v>
      </c>
      <c r="G271" s="8">
        <f t="shared" si="14"/>
        <v>4.5673611111111212</v>
      </c>
    </row>
    <row r="272" spans="1:7" x14ac:dyDescent="0.25">
      <c r="A272" s="5">
        <v>44362</v>
      </c>
      <c r="B272" s="6" t="s">
        <v>32</v>
      </c>
      <c r="C272" s="6" t="s">
        <v>80</v>
      </c>
      <c r="D272" s="6" t="s">
        <v>92</v>
      </c>
      <c r="E272" s="6" t="s">
        <v>81</v>
      </c>
      <c r="F272" s="7">
        <f t="shared" si="13"/>
        <v>7.6388888888889173E-3</v>
      </c>
      <c r="G272" s="8">
        <f t="shared" si="14"/>
        <v>4.5750000000000099</v>
      </c>
    </row>
    <row r="273" spans="1:9" x14ac:dyDescent="0.25">
      <c r="A273" s="5">
        <v>44363</v>
      </c>
      <c r="B273" s="6" t="s">
        <v>7</v>
      </c>
      <c r="C273" s="6" t="s">
        <v>80</v>
      </c>
      <c r="D273" s="6" t="s">
        <v>92</v>
      </c>
      <c r="E273" s="6" t="s">
        <v>140</v>
      </c>
      <c r="F273" s="7">
        <f t="shared" si="13"/>
        <v>2.0833333333333814E-3</v>
      </c>
      <c r="G273" s="8">
        <f t="shared" si="14"/>
        <v>4.5770833333333432</v>
      </c>
    </row>
    <row r="274" spans="1:9" x14ac:dyDescent="0.25">
      <c r="A274" s="5">
        <v>44364</v>
      </c>
      <c r="B274" s="6" t="s">
        <v>18</v>
      </c>
      <c r="C274" s="6" t="s">
        <v>80</v>
      </c>
      <c r="D274" s="6" t="s">
        <v>92</v>
      </c>
      <c r="E274" s="6" t="s">
        <v>139</v>
      </c>
      <c r="F274" s="7">
        <f t="shared" si="13"/>
        <v>7.6388888888889173E-3</v>
      </c>
      <c r="G274" s="8">
        <f t="shared" si="14"/>
        <v>4.5847222222222319</v>
      </c>
    </row>
    <row r="275" spans="1:9" x14ac:dyDescent="0.25">
      <c r="A275" s="5">
        <v>44365</v>
      </c>
      <c r="B275" s="6" t="s">
        <v>199</v>
      </c>
      <c r="C275" s="6" t="s">
        <v>199</v>
      </c>
      <c r="D275" s="6" t="s">
        <v>199</v>
      </c>
      <c r="E275" s="6" t="s">
        <v>199</v>
      </c>
      <c r="F275" s="7">
        <v>0</v>
      </c>
      <c r="G275" s="8">
        <f t="shared" si="14"/>
        <v>4.5847222222222319</v>
      </c>
    </row>
    <row r="276" spans="1:9" x14ac:dyDescent="0.25">
      <c r="A276" s="5">
        <v>44366</v>
      </c>
      <c r="B276" s="6" t="s">
        <v>5</v>
      </c>
      <c r="C276" s="6" t="s">
        <v>80</v>
      </c>
      <c r="D276" s="6" t="s">
        <v>92</v>
      </c>
      <c r="E276" s="6" t="s">
        <v>196</v>
      </c>
      <c r="F276" s="7">
        <f>E276-B276-(D276-C276)-"8:48"</f>
        <v>-2.4305555555555525E-2</v>
      </c>
      <c r="G276" s="8">
        <f t="shared" si="14"/>
        <v>4.5604166666666766</v>
      </c>
    </row>
    <row r="277" spans="1:9" x14ac:dyDescent="0.25">
      <c r="A277" s="2"/>
      <c r="F277" s="3"/>
      <c r="H277" s="3">
        <v>0.16666666666666666</v>
      </c>
      <c r="I277" t="s">
        <v>204</v>
      </c>
    </row>
    <row r="278" spans="1:9" x14ac:dyDescent="0.25">
      <c r="H278" s="3">
        <v>0.16666666666666666</v>
      </c>
      <c r="I278" t="s">
        <v>205</v>
      </c>
    </row>
    <row r="279" spans="1:9" x14ac:dyDescent="0.25">
      <c r="H279" s="3">
        <v>0.16666666666666666</v>
      </c>
      <c r="I279" t="s">
        <v>206</v>
      </c>
    </row>
    <row r="280" spans="1:9" x14ac:dyDescent="0.25">
      <c r="H280" s="3">
        <v>0.16666666666666666</v>
      </c>
      <c r="I280" t="s">
        <v>207</v>
      </c>
    </row>
    <row r="281" spans="1:9" x14ac:dyDescent="0.25">
      <c r="F281" t="s">
        <v>208</v>
      </c>
      <c r="G281" s="4">
        <f>G276+H277+H278+H279+H280</f>
        <v>5.2270833333333444</v>
      </c>
    </row>
    <row r="282" spans="1:9" x14ac:dyDescent="0.25">
      <c r="F282" t="s">
        <v>209</v>
      </c>
      <c r="G282" s="3">
        <f>F240+"01:59"</f>
        <v>0.1076388888888889</v>
      </c>
      <c r="H282" t="s">
        <v>210</v>
      </c>
    </row>
    <row r="283" spans="1:9" x14ac:dyDescent="0.25">
      <c r="F283" t="s">
        <v>211</v>
      </c>
      <c r="G283" s="3">
        <f>F240</f>
        <v>2.5000000000000001E-2</v>
      </c>
    </row>
  </sheetData>
  <autoFilter ref="A1:F283" xr:uid="{00000000-0001-0000-0000-000000000000}">
    <sortState xmlns:xlrd2="http://schemas.microsoft.com/office/spreadsheetml/2017/richdata2" ref="A2:F276">
      <sortCondition ref="A1:A276"/>
    </sortState>
  </autoFilter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Solides Aplicativo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Andrade</dc:creator>
  <cp:lastModifiedBy>Lucas Andrade</cp:lastModifiedBy>
  <dcterms:created xsi:type="dcterms:W3CDTF">2025-08-02T17:34:34Z</dcterms:created>
  <dcterms:modified xsi:type="dcterms:W3CDTF">2025-08-02T18:44:02Z</dcterms:modified>
</cp:coreProperties>
</file>